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bff2e06eb840aeb/Documents/DATA ANALYTICS/Data Exploration/"/>
    </mc:Choice>
  </mc:AlternateContent>
  <xr:revisionPtr revIDLastSave="0" documentId="8_{30B478FC-0E86-487B-8C9C-9E2B915CB8FB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Sheet1" sheetId="1" r:id="rId1"/>
    <sheet name="Dashboard" sheetId="5" r:id="rId2"/>
  </sheets>
  <externalReferences>
    <externalReference r:id="rId3"/>
  </externalReferences>
  <definedNames>
    <definedName name="_xlnm._FilterDatabase" localSheetId="0" hidden="1">Sheet1!$A$1:$O$1001</definedName>
    <definedName name="_xlnm.Print_Area" localSheetId="1">Dashboard!$B$1:$M$28</definedName>
    <definedName name="Type">'[1]Business Meeting Agenda'!#REF!</definedName>
  </definedNames>
  <calcPr calcId="191029"/>
  <pivotCaches>
    <pivotCache cacheId="13" r:id="rId4"/>
    <pivotCache cacheId="26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34" i="1" l="1"/>
  <c r="R40" i="1"/>
  <c r="R38" i="1"/>
  <c r="R37" i="1"/>
  <c r="R36" i="1"/>
  <c r="R35" i="1"/>
  <c r="R13" i="1"/>
  <c r="R12" i="1"/>
  <c r="R11" i="1"/>
  <c r="R8" i="1"/>
  <c r="R3" i="1"/>
  <c r="R2" i="1"/>
  <c r="R6" i="1"/>
  <c r="W4" i="1"/>
  <c r="R5" i="1"/>
  <c r="R39" i="1" l="1"/>
</calcChain>
</file>

<file path=xl/sharedStrings.xml><?xml version="1.0" encoding="utf-8"?>
<sst xmlns="http://schemas.openxmlformats.org/spreadsheetml/2006/main" count="9070" uniqueCount="5073">
  <si>
    <t>CustomerID</t>
  </si>
  <si>
    <t>FirstName</t>
  </si>
  <si>
    <t>LastName</t>
  </si>
  <si>
    <t>Email</t>
  </si>
  <si>
    <t>PhoneNumber</t>
  </si>
  <si>
    <t>Age</t>
  </si>
  <si>
    <t>Gender</t>
  </si>
  <si>
    <t>Country</t>
  </si>
  <si>
    <t>City</t>
  </si>
  <si>
    <t>AnnualIncome</t>
  </si>
  <si>
    <t>PurchaseHistory</t>
  </si>
  <si>
    <t>LastPurchaseDate</t>
  </si>
  <si>
    <t>SubscriptionStatus</t>
  </si>
  <si>
    <t>FeedbackScore</t>
  </si>
  <si>
    <t>LoyaltyPoints</t>
  </si>
  <si>
    <t>CUST-1000</t>
  </si>
  <si>
    <t>CUST-1001</t>
  </si>
  <si>
    <t>CUST-1002</t>
  </si>
  <si>
    <t>CUST-1003</t>
  </si>
  <si>
    <t>CUST-1004</t>
  </si>
  <si>
    <t>CUST-1005</t>
  </si>
  <si>
    <t>CUST-1006</t>
  </si>
  <si>
    <t>CUST-1007</t>
  </si>
  <si>
    <t>CUST-1008</t>
  </si>
  <si>
    <t>CUST-1009</t>
  </si>
  <si>
    <t>CUST-1010</t>
  </si>
  <si>
    <t>CUST-1011</t>
  </si>
  <si>
    <t>CUST-1012</t>
  </si>
  <si>
    <t>CUST-1013</t>
  </si>
  <si>
    <t>CUST-1014</t>
  </si>
  <si>
    <t>CUST-1015</t>
  </si>
  <si>
    <t>CUST-1016</t>
  </si>
  <si>
    <t>CUST-1017</t>
  </si>
  <si>
    <t>CUST-1018</t>
  </si>
  <si>
    <t>CUST-1019</t>
  </si>
  <si>
    <t>CUST-1020</t>
  </si>
  <si>
    <t>CUST-1021</t>
  </si>
  <si>
    <t>CUST-1022</t>
  </si>
  <si>
    <t>CUST-1023</t>
  </si>
  <si>
    <t>CUST-1024</t>
  </si>
  <si>
    <t>CUST-1025</t>
  </si>
  <si>
    <t>CUST-1026</t>
  </si>
  <si>
    <t>CUST-1027</t>
  </si>
  <si>
    <t>CUST-1028</t>
  </si>
  <si>
    <t>CUST-1029</t>
  </si>
  <si>
    <t>CUST-1030</t>
  </si>
  <si>
    <t>CUST-1031</t>
  </si>
  <si>
    <t>CUST-1032</t>
  </si>
  <si>
    <t>CUST-1033</t>
  </si>
  <si>
    <t>CUST-1034</t>
  </si>
  <si>
    <t>CUST-1035</t>
  </si>
  <si>
    <t>CUST-1036</t>
  </si>
  <si>
    <t>CUST-1037</t>
  </si>
  <si>
    <t>CUST-1038</t>
  </si>
  <si>
    <t>CUST-1039</t>
  </si>
  <si>
    <t>CUST-1040</t>
  </si>
  <si>
    <t>CUST-1041</t>
  </si>
  <si>
    <t>CUST-1042</t>
  </si>
  <si>
    <t>CUST-1043</t>
  </si>
  <si>
    <t>CUST-1044</t>
  </si>
  <si>
    <t>CUST-1045</t>
  </si>
  <si>
    <t>CUST-1046</t>
  </si>
  <si>
    <t>CUST-1047</t>
  </si>
  <si>
    <t>CUST-1048</t>
  </si>
  <si>
    <t>CUST-1049</t>
  </si>
  <si>
    <t>CUST-1050</t>
  </si>
  <si>
    <t>CUST-1051</t>
  </si>
  <si>
    <t>CUST-1052</t>
  </si>
  <si>
    <t>CUST-1053</t>
  </si>
  <si>
    <t>CUST-1054</t>
  </si>
  <si>
    <t>CUST-1055</t>
  </si>
  <si>
    <t>CUST-1056</t>
  </si>
  <si>
    <t>CUST-1057</t>
  </si>
  <si>
    <t>CUST-1058</t>
  </si>
  <si>
    <t>CUST-1059</t>
  </si>
  <si>
    <t>CUST-1060</t>
  </si>
  <si>
    <t>CUST-1061</t>
  </si>
  <si>
    <t>CUST-1062</t>
  </si>
  <si>
    <t>CUST-1063</t>
  </si>
  <si>
    <t>CUST-1064</t>
  </si>
  <si>
    <t>CUST-1065</t>
  </si>
  <si>
    <t>CUST-1066</t>
  </si>
  <si>
    <t>CUST-1067</t>
  </si>
  <si>
    <t>CUST-1068</t>
  </si>
  <si>
    <t>CUST-1069</t>
  </si>
  <si>
    <t>CUST-1070</t>
  </si>
  <si>
    <t>CUST-1071</t>
  </si>
  <si>
    <t>CUST-1072</t>
  </si>
  <si>
    <t>CUST-1073</t>
  </si>
  <si>
    <t>CUST-1074</t>
  </si>
  <si>
    <t>CUST-1075</t>
  </si>
  <si>
    <t>CUST-1076</t>
  </si>
  <si>
    <t>CUST-1077</t>
  </si>
  <si>
    <t>CUST-1078</t>
  </si>
  <si>
    <t>CUST-1079</t>
  </si>
  <si>
    <t>CUST-1080</t>
  </si>
  <si>
    <t>CUST-1081</t>
  </si>
  <si>
    <t>CUST-1082</t>
  </si>
  <si>
    <t>CUST-1083</t>
  </si>
  <si>
    <t>CUST-1084</t>
  </si>
  <si>
    <t>CUST-1085</t>
  </si>
  <si>
    <t>CUST-1086</t>
  </si>
  <si>
    <t>CUST-1087</t>
  </si>
  <si>
    <t>CUST-1088</t>
  </si>
  <si>
    <t>CUST-1089</t>
  </si>
  <si>
    <t>CUST-1090</t>
  </si>
  <si>
    <t>CUST-1091</t>
  </si>
  <si>
    <t>CUST-1092</t>
  </si>
  <si>
    <t>CUST-1093</t>
  </si>
  <si>
    <t>CUST-1094</t>
  </si>
  <si>
    <t>CUST-1095</t>
  </si>
  <si>
    <t>CUST-1096</t>
  </si>
  <si>
    <t>CUST-1097</t>
  </si>
  <si>
    <t>CUST-1098</t>
  </si>
  <si>
    <t>CUST-1099</t>
  </si>
  <si>
    <t>CUST-1100</t>
  </si>
  <si>
    <t>CUST-1101</t>
  </si>
  <si>
    <t>CUST-1102</t>
  </si>
  <si>
    <t>CUST-1103</t>
  </si>
  <si>
    <t>CUST-1104</t>
  </si>
  <si>
    <t>CUST-1105</t>
  </si>
  <si>
    <t>CUST-1106</t>
  </si>
  <si>
    <t>CUST-1107</t>
  </si>
  <si>
    <t>CUST-1108</t>
  </si>
  <si>
    <t>CUST-1109</t>
  </si>
  <si>
    <t>CUST-1110</t>
  </si>
  <si>
    <t>CUST-1111</t>
  </si>
  <si>
    <t>CUST-1112</t>
  </si>
  <si>
    <t>CUST-1113</t>
  </si>
  <si>
    <t>CUST-1114</t>
  </si>
  <si>
    <t>CUST-1115</t>
  </si>
  <si>
    <t>CUST-1116</t>
  </si>
  <si>
    <t>CUST-1117</t>
  </si>
  <si>
    <t>CUST-1118</t>
  </si>
  <si>
    <t>CUST-1119</t>
  </si>
  <si>
    <t>CUST-1120</t>
  </si>
  <si>
    <t>CUST-1121</t>
  </si>
  <si>
    <t>CUST-1122</t>
  </si>
  <si>
    <t>CUST-1123</t>
  </si>
  <si>
    <t>CUST-1124</t>
  </si>
  <si>
    <t>CUST-1125</t>
  </si>
  <si>
    <t>CUST-1126</t>
  </si>
  <si>
    <t>CUST-1127</t>
  </si>
  <si>
    <t>CUST-1128</t>
  </si>
  <si>
    <t>CUST-1129</t>
  </si>
  <si>
    <t>CUST-1130</t>
  </si>
  <si>
    <t>CUST-1131</t>
  </si>
  <si>
    <t>CUST-1132</t>
  </si>
  <si>
    <t>CUST-1133</t>
  </si>
  <si>
    <t>CUST-1134</t>
  </si>
  <si>
    <t>CUST-1135</t>
  </si>
  <si>
    <t>CUST-1136</t>
  </si>
  <si>
    <t>CUST-1137</t>
  </si>
  <si>
    <t>CUST-1138</t>
  </si>
  <si>
    <t>CUST-1139</t>
  </si>
  <si>
    <t>CUST-1140</t>
  </si>
  <si>
    <t>CUST-1141</t>
  </si>
  <si>
    <t>CUST-1142</t>
  </si>
  <si>
    <t>CUST-1143</t>
  </si>
  <si>
    <t>CUST-1144</t>
  </si>
  <si>
    <t>CUST-1145</t>
  </si>
  <si>
    <t>CUST-1146</t>
  </si>
  <si>
    <t>CUST-1147</t>
  </si>
  <si>
    <t>CUST-1148</t>
  </si>
  <si>
    <t>CUST-1149</t>
  </si>
  <si>
    <t>CUST-1150</t>
  </si>
  <si>
    <t>CUST-1151</t>
  </si>
  <si>
    <t>CUST-1152</t>
  </si>
  <si>
    <t>CUST-1153</t>
  </si>
  <si>
    <t>CUST-1154</t>
  </si>
  <si>
    <t>CUST-1155</t>
  </si>
  <si>
    <t>CUST-1156</t>
  </si>
  <si>
    <t>CUST-1157</t>
  </si>
  <si>
    <t>CUST-1158</t>
  </si>
  <si>
    <t>CUST-1159</t>
  </si>
  <si>
    <t>CUST-1160</t>
  </si>
  <si>
    <t>CUST-1161</t>
  </si>
  <si>
    <t>CUST-1162</t>
  </si>
  <si>
    <t>CUST-1163</t>
  </si>
  <si>
    <t>CUST-1164</t>
  </si>
  <si>
    <t>CUST-1165</t>
  </si>
  <si>
    <t>CUST-1166</t>
  </si>
  <si>
    <t>CUST-1167</t>
  </si>
  <si>
    <t>CUST-1168</t>
  </si>
  <si>
    <t>CUST-1169</t>
  </si>
  <si>
    <t>CUST-1170</t>
  </si>
  <si>
    <t>CUST-1171</t>
  </si>
  <si>
    <t>CUST-1172</t>
  </si>
  <si>
    <t>CUST-1173</t>
  </si>
  <si>
    <t>CUST-1174</t>
  </si>
  <si>
    <t>CUST-1175</t>
  </si>
  <si>
    <t>CUST-1176</t>
  </si>
  <si>
    <t>CUST-1177</t>
  </si>
  <si>
    <t>CUST-1178</t>
  </si>
  <si>
    <t>CUST-1179</t>
  </si>
  <si>
    <t>CUST-1180</t>
  </si>
  <si>
    <t>CUST-1181</t>
  </si>
  <si>
    <t>CUST-1182</t>
  </si>
  <si>
    <t>CUST-1183</t>
  </si>
  <si>
    <t>CUST-1184</t>
  </si>
  <si>
    <t>CUST-1185</t>
  </si>
  <si>
    <t>CUST-1186</t>
  </si>
  <si>
    <t>CUST-1187</t>
  </si>
  <si>
    <t>CUST-1188</t>
  </si>
  <si>
    <t>CUST-1189</t>
  </si>
  <si>
    <t>CUST-1190</t>
  </si>
  <si>
    <t>CUST-1191</t>
  </si>
  <si>
    <t>CUST-1192</t>
  </si>
  <si>
    <t>CUST-1193</t>
  </si>
  <si>
    <t>CUST-1194</t>
  </si>
  <si>
    <t>CUST-1195</t>
  </si>
  <si>
    <t>CUST-1196</t>
  </si>
  <si>
    <t>CUST-1197</t>
  </si>
  <si>
    <t>CUST-1198</t>
  </si>
  <si>
    <t>CUST-1199</t>
  </si>
  <si>
    <t>CUST-1200</t>
  </si>
  <si>
    <t>CUST-1201</t>
  </si>
  <si>
    <t>CUST-1202</t>
  </si>
  <si>
    <t>CUST-1203</t>
  </si>
  <si>
    <t>CUST-1204</t>
  </si>
  <si>
    <t>CUST-1205</t>
  </si>
  <si>
    <t>CUST-1206</t>
  </si>
  <si>
    <t>CUST-1207</t>
  </si>
  <si>
    <t>CUST-1208</t>
  </si>
  <si>
    <t>CUST-1209</t>
  </si>
  <si>
    <t>CUST-1210</t>
  </si>
  <si>
    <t>CUST-1211</t>
  </si>
  <si>
    <t>CUST-1212</t>
  </si>
  <si>
    <t>CUST-1213</t>
  </si>
  <si>
    <t>CUST-1214</t>
  </si>
  <si>
    <t>CUST-1215</t>
  </si>
  <si>
    <t>CUST-1216</t>
  </si>
  <si>
    <t>CUST-1217</t>
  </si>
  <si>
    <t>CUST-1218</t>
  </si>
  <si>
    <t>CUST-1219</t>
  </si>
  <si>
    <t>CUST-1220</t>
  </si>
  <si>
    <t>CUST-1221</t>
  </si>
  <si>
    <t>CUST-1222</t>
  </si>
  <si>
    <t>CUST-1223</t>
  </si>
  <si>
    <t>CUST-1224</t>
  </si>
  <si>
    <t>CUST-1225</t>
  </si>
  <si>
    <t>CUST-1226</t>
  </si>
  <si>
    <t>CUST-1227</t>
  </si>
  <si>
    <t>CUST-1228</t>
  </si>
  <si>
    <t>CUST-1229</t>
  </si>
  <si>
    <t>CUST-1230</t>
  </si>
  <si>
    <t>CUST-1231</t>
  </si>
  <si>
    <t>CUST-1232</t>
  </si>
  <si>
    <t>CUST-1233</t>
  </si>
  <si>
    <t>CUST-1234</t>
  </si>
  <si>
    <t>CUST-1235</t>
  </si>
  <si>
    <t>CUST-1236</t>
  </si>
  <si>
    <t>CUST-1237</t>
  </si>
  <si>
    <t>CUST-1238</t>
  </si>
  <si>
    <t>CUST-1239</t>
  </si>
  <si>
    <t>CUST-1240</t>
  </si>
  <si>
    <t>CUST-1241</t>
  </si>
  <si>
    <t>CUST-1242</t>
  </si>
  <si>
    <t>CUST-1243</t>
  </si>
  <si>
    <t>CUST-1244</t>
  </si>
  <si>
    <t>CUST-1245</t>
  </si>
  <si>
    <t>CUST-1246</t>
  </si>
  <si>
    <t>CUST-1247</t>
  </si>
  <si>
    <t>CUST-1248</t>
  </si>
  <si>
    <t>CUST-1249</t>
  </si>
  <si>
    <t>CUST-1250</t>
  </si>
  <si>
    <t>CUST-1251</t>
  </si>
  <si>
    <t>CUST-1252</t>
  </si>
  <si>
    <t>CUST-1253</t>
  </si>
  <si>
    <t>CUST-1254</t>
  </si>
  <si>
    <t>CUST-1255</t>
  </si>
  <si>
    <t>CUST-1256</t>
  </si>
  <si>
    <t>CUST-1257</t>
  </si>
  <si>
    <t>CUST-1258</t>
  </si>
  <si>
    <t>CUST-1259</t>
  </si>
  <si>
    <t>CUST-1260</t>
  </si>
  <si>
    <t>CUST-1261</t>
  </si>
  <si>
    <t>CUST-1262</t>
  </si>
  <si>
    <t>CUST-1263</t>
  </si>
  <si>
    <t>CUST-1264</t>
  </si>
  <si>
    <t>CUST-1265</t>
  </si>
  <si>
    <t>CUST-1266</t>
  </si>
  <si>
    <t>CUST-1267</t>
  </si>
  <si>
    <t>CUST-1268</t>
  </si>
  <si>
    <t>CUST-1269</t>
  </si>
  <si>
    <t>CUST-1270</t>
  </si>
  <si>
    <t>CUST-1271</t>
  </si>
  <si>
    <t>CUST-1272</t>
  </si>
  <si>
    <t>CUST-1273</t>
  </si>
  <si>
    <t>CUST-1274</t>
  </si>
  <si>
    <t>CUST-1275</t>
  </si>
  <si>
    <t>CUST-1276</t>
  </si>
  <si>
    <t>CUST-1277</t>
  </si>
  <si>
    <t>CUST-1278</t>
  </si>
  <si>
    <t>CUST-1279</t>
  </si>
  <si>
    <t>CUST-1280</t>
  </si>
  <si>
    <t>CUST-1281</t>
  </si>
  <si>
    <t>CUST-1282</t>
  </si>
  <si>
    <t>CUST-1283</t>
  </si>
  <si>
    <t>CUST-1284</t>
  </si>
  <si>
    <t>CUST-1285</t>
  </si>
  <si>
    <t>CUST-1286</t>
  </si>
  <si>
    <t>CUST-1287</t>
  </si>
  <si>
    <t>CUST-1288</t>
  </si>
  <si>
    <t>CUST-1289</t>
  </si>
  <si>
    <t>CUST-1290</t>
  </si>
  <si>
    <t>CUST-1291</t>
  </si>
  <si>
    <t>CUST-1292</t>
  </si>
  <si>
    <t>CUST-1293</t>
  </si>
  <si>
    <t>CUST-1294</t>
  </si>
  <si>
    <t>CUST-1295</t>
  </si>
  <si>
    <t>CUST-1296</t>
  </si>
  <si>
    <t>CUST-1297</t>
  </si>
  <si>
    <t>CUST-1298</t>
  </si>
  <si>
    <t>CUST-1299</t>
  </si>
  <si>
    <t>CUST-1300</t>
  </si>
  <si>
    <t>CUST-1301</t>
  </si>
  <si>
    <t>CUST-1302</t>
  </si>
  <si>
    <t>CUST-1303</t>
  </si>
  <si>
    <t>CUST-1304</t>
  </si>
  <si>
    <t>CUST-1305</t>
  </si>
  <si>
    <t>CUST-1306</t>
  </si>
  <si>
    <t>CUST-1307</t>
  </si>
  <si>
    <t>CUST-1308</t>
  </si>
  <si>
    <t>CUST-1309</t>
  </si>
  <si>
    <t>CUST-1310</t>
  </si>
  <si>
    <t>CUST-1311</t>
  </si>
  <si>
    <t>CUST-1312</t>
  </si>
  <si>
    <t>CUST-1313</t>
  </si>
  <si>
    <t>CUST-1314</t>
  </si>
  <si>
    <t>CUST-1315</t>
  </si>
  <si>
    <t>CUST-1316</t>
  </si>
  <si>
    <t>CUST-1317</t>
  </si>
  <si>
    <t>CUST-1318</t>
  </si>
  <si>
    <t>CUST-1319</t>
  </si>
  <si>
    <t>CUST-1320</t>
  </si>
  <si>
    <t>CUST-1321</t>
  </si>
  <si>
    <t>CUST-1322</t>
  </si>
  <si>
    <t>CUST-1323</t>
  </si>
  <si>
    <t>CUST-1324</t>
  </si>
  <si>
    <t>CUST-1325</t>
  </si>
  <si>
    <t>CUST-1326</t>
  </si>
  <si>
    <t>CUST-1327</t>
  </si>
  <si>
    <t>CUST-1328</t>
  </si>
  <si>
    <t>CUST-1329</t>
  </si>
  <si>
    <t>CUST-1330</t>
  </si>
  <si>
    <t>CUST-1331</t>
  </si>
  <si>
    <t>CUST-1332</t>
  </si>
  <si>
    <t>CUST-1333</t>
  </si>
  <si>
    <t>CUST-1334</t>
  </si>
  <si>
    <t>CUST-1335</t>
  </si>
  <si>
    <t>CUST-1336</t>
  </si>
  <si>
    <t>CUST-1337</t>
  </si>
  <si>
    <t>CUST-1338</t>
  </si>
  <si>
    <t>CUST-1339</t>
  </si>
  <si>
    <t>CUST-1340</t>
  </si>
  <si>
    <t>CUST-1341</t>
  </si>
  <si>
    <t>CUST-1342</t>
  </si>
  <si>
    <t>CUST-1343</t>
  </si>
  <si>
    <t>CUST-1344</t>
  </si>
  <si>
    <t>CUST-1345</t>
  </si>
  <si>
    <t>CUST-1346</t>
  </si>
  <si>
    <t>CUST-1347</t>
  </si>
  <si>
    <t>CUST-1348</t>
  </si>
  <si>
    <t>CUST-1349</t>
  </si>
  <si>
    <t>CUST-1350</t>
  </si>
  <si>
    <t>CUST-1351</t>
  </si>
  <si>
    <t>CUST-1352</t>
  </si>
  <si>
    <t>CUST-1353</t>
  </si>
  <si>
    <t>CUST-1354</t>
  </si>
  <si>
    <t>CUST-1355</t>
  </si>
  <si>
    <t>CUST-1356</t>
  </si>
  <si>
    <t>CUST-1357</t>
  </si>
  <si>
    <t>CUST-1358</t>
  </si>
  <si>
    <t>CUST-1359</t>
  </si>
  <si>
    <t>CUST-1360</t>
  </si>
  <si>
    <t>CUST-1361</t>
  </si>
  <si>
    <t>CUST-1362</t>
  </si>
  <si>
    <t>CUST-1363</t>
  </si>
  <si>
    <t>CUST-1364</t>
  </si>
  <si>
    <t>CUST-1365</t>
  </si>
  <si>
    <t>CUST-1366</t>
  </si>
  <si>
    <t>CUST-1367</t>
  </si>
  <si>
    <t>CUST-1368</t>
  </si>
  <si>
    <t>CUST-1369</t>
  </si>
  <si>
    <t>CUST-1370</t>
  </si>
  <si>
    <t>CUST-1371</t>
  </si>
  <si>
    <t>CUST-1372</t>
  </si>
  <si>
    <t>CUST-1373</t>
  </si>
  <si>
    <t>CUST-1374</t>
  </si>
  <si>
    <t>CUST-1375</t>
  </si>
  <si>
    <t>CUST-1376</t>
  </si>
  <si>
    <t>CUST-1377</t>
  </si>
  <si>
    <t>CUST-1378</t>
  </si>
  <si>
    <t>CUST-1379</t>
  </si>
  <si>
    <t>CUST-1380</t>
  </si>
  <si>
    <t>CUST-1381</t>
  </si>
  <si>
    <t>CUST-1382</t>
  </si>
  <si>
    <t>CUST-1383</t>
  </si>
  <si>
    <t>CUST-1384</t>
  </si>
  <si>
    <t>CUST-1385</t>
  </si>
  <si>
    <t>CUST-1386</t>
  </si>
  <si>
    <t>CUST-1387</t>
  </si>
  <si>
    <t>CUST-1388</t>
  </si>
  <si>
    <t>CUST-1389</t>
  </si>
  <si>
    <t>CUST-1390</t>
  </si>
  <si>
    <t>CUST-1391</t>
  </si>
  <si>
    <t>CUST-1392</t>
  </si>
  <si>
    <t>CUST-1393</t>
  </si>
  <si>
    <t>CUST-1394</t>
  </si>
  <si>
    <t>CUST-1395</t>
  </si>
  <si>
    <t>CUST-1396</t>
  </si>
  <si>
    <t>CUST-1397</t>
  </si>
  <si>
    <t>CUST-1398</t>
  </si>
  <si>
    <t>CUST-1399</t>
  </si>
  <si>
    <t>CUST-1400</t>
  </si>
  <si>
    <t>CUST-1401</t>
  </si>
  <si>
    <t>CUST-1402</t>
  </si>
  <si>
    <t>CUST-1403</t>
  </si>
  <si>
    <t>CUST-1404</t>
  </si>
  <si>
    <t>CUST-1405</t>
  </si>
  <si>
    <t>CUST-1406</t>
  </si>
  <si>
    <t>CUST-1407</t>
  </si>
  <si>
    <t>CUST-1408</t>
  </si>
  <si>
    <t>CUST-1409</t>
  </si>
  <si>
    <t>CUST-1410</t>
  </si>
  <si>
    <t>CUST-1411</t>
  </si>
  <si>
    <t>CUST-1412</t>
  </si>
  <si>
    <t>CUST-1413</t>
  </si>
  <si>
    <t>CUST-1414</t>
  </si>
  <si>
    <t>CUST-1415</t>
  </si>
  <si>
    <t>CUST-1416</t>
  </si>
  <si>
    <t>CUST-1417</t>
  </si>
  <si>
    <t>CUST-1418</t>
  </si>
  <si>
    <t>CUST-1419</t>
  </si>
  <si>
    <t>CUST-1420</t>
  </si>
  <si>
    <t>CUST-1421</t>
  </si>
  <si>
    <t>CUST-1422</t>
  </si>
  <si>
    <t>CUST-1423</t>
  </si>
  <si>
    <t>CUST-1424</t>
  </si>
  <si>
    <t>CUST-1425</t>
  </si>
  <si>
    <t>CUST-1426</t>
  </si>
  <si>
    <t>CUST-1427</t>
  </si>
  <si>
    <t>CUST-1428</t>
  </si>
  <si>
    <t>CUST-1429</t>
  </si>
  <si>
    <t>CUST-1430</t>
  </si>
  <si>
    <t>CUST-1431</t>
  </si>
  <si>
    <t>CUST-1432</t>
  </si>
  <si>
    <t>CUST-1433</t>
  </si>
  <si>
    <t>CUST-1434</t>
  </si>
  <si>
    <t>CUST-1435</t>
  </si>
  <si>
    <t>CUST-1436</t>
  </si>
  <si>
    <t>CUST-1437</t>
  </si>
  <si>
    <t>CUST-1438</t>
  </si>
  <si>
    <t>CUST-1439</t>
  </si>
  <si>
    <t>CUST-1440</t>
  </si>
  <si>
    <t>CUST-1441</t>
  </si>
  <si>
    <t>CUST-1442</t>
  </si>
  <si>
    <t>CUST-1443</t>
  </si>
  <si>
    <t>CUST-1444</t>
  </si>
  <si>
    <t>CUST-1445</t>
  </si>
  <si>
    <t>CUST-1446</t>
  </si>
  <si>
    <t>CUST-1447</t>
  </si>
  <si>
    <t>CUST-1448</t>
  </si>
  <si>
    <t>CUST-1449</t>
  </si>
  <si>
    <t>CUST-1450</t>
  </si>
  <si>
    <t>CUST-1451</t>
  </si>
  <si>
    <t>CUST-1452</t>
  </si>
  <si>
    <t>CUST-1453</t>
  </si>
  <si>
    <t>CUST-1454</t>
  </si>
  <si>
    <t>CUST-1455</t>
  </si>
  <si>
    <t>CUST-1456</t>
  </si>
  <si>
    <t>CUST-1457</t>
  </si>
  <si>
    <t>CUST-1458</t>
  </si>
  <si>
    <t>CUST-1459</t>
  </si>
  <si>
    <t>CUST-1460</t>
  </si>
  <si>
    <t>CUST-1461</t>
  </si>
  <si>
    <t>CUST-1462</t>
  </si>
  <si>
    <t>CUST-1463</t>
  </si>
  <si>
    <t>CUST-1464</t>
  </si>
  <si>
    <t>CUST-1465</t>
  </si>
  <si>
    <t>CUST-1466</t>
  </si>
  <si>
    <t>CUST-1467</t>
  </si>
  <si>
    <t>CUST-1468</t>
  </si>
  <si>
    <t>CUST-1469</t>
  </si>
  <si>
    <t>CUST-1470</t>
  </si>
  <si>
    <t>CUST-1471</t>
  </si>
  <si>
    <t>CUST-1472</t>
  </si>
  <si>
    <t>CUST-1473</t>
  </si>
  <si>
    <t>CUST-1474</t>
  </si>
  <si>
    <t>CUST-1475</t>
  </si>
  <si>
    <t>CUST-1476</t>
  </si>
  <si>
    <t>CUST-1477</t>
  </si>
  <si>
    <t>CUST-1478</t>
  </si>
  <si>
    <t>CUST-1479</t>
  </si>
  <si>
    <t>CUST-1480</t>
  </si>
  <si>
    <t>CUST-1481</t>
  </si>
  <si>
    <t>CUST-1482</t>
  </si>
  <si>
    <t>CUST-1483</t>
  </si>
  <si>
    <t>CUST-1484</t>
  </si>
  <si>
    <t>CUST-1485</t>
  </si>
  <si>
    <t>CUST-1486</t>
  </si>
  <si>
    <t>CUST-1487</t>
  </si>
  <si>
    <t>CUST-1488</t>
  </si>
  <si>
    <t>CUST-1489</t>
  </si>
  <si>
    <t>CUST-1490</t>
  </si>
  <si>
    <t>CUST-1491</t>
  </si>
  <si>
    <t>CUST-1492</t>
  </si>
  <si>
    <t>CUST-1493</t>
  </si>
  <si>
    <t>CUST-1494</t>
  </si>
  <si>
    <t>CUST-1495</t>
  </si>
  <si>
    <t>CUST-1496</t>
  </si>
  <si>
    <t>CUST-1497</t>
  </si>
  <si>
    <t>CUST-1498</t>
  </si>
  <si>
    <t>CUST-1499</t>
  </si>
  <si>
    <t>CUST-1500</t>
  </si>
  <si>
    <t>CUST-1501</t>
  </si>
  <si>
    <t>CUST-1502</t>
  </si>
  <si>
    <t>CUST-1503</t>
  </si>
  <si>
    <t>CUST-1504</t>
  </si>
  <si>
    <t>CUST-1505</t>
  </si>
  <si>
    <t>CUST-1506</t>
  </si>
  <si>
    <t>CUST-1507</t>
  </si>
  <si>
    <t>CUST-1508</t>
  </si>
  <si>
    <t>CUST-1509</t>
  </si>
  <si>
    <t>CUST-1510</t>
  </si>
  <si>
    <t>CUST-1511</t>
  </si>
  <si>
    <t>CUST-1512</t>
  </si>
  <si>
    <t>CUST-1513</t>
  </si>
  <si>
    <t>CUST-1514</t>
  </si>
  <si>
    <t>CUST-1515</t>
  </si>
  <si>
    <t>CUST-1516</t>
  </si>
  <si>
    <t>CUST-1517</t>
  </si>
  <si>
    <t>CUST-1518</t>
  </si>
  <si>
    <t>CUST-1519</t>
  </si>
  <si>
    <t>CUST-1520</t>
  </si>
  <si>
    <t>CUST-1521</t>
  </si>
  <si>
    <t>CUST-1522</t>
  </si>
  <si>
    <t>CUST-1523</t>
  </si>
  <si>
    <t>CUST-1524</t>
  </si>
  <si>
    <t>CUST-1525</t>
  </si>
  <si>
    <t>CUST-1526</t>
  </si>
  <si>
    <t>CUST-1527</t>
  </si>
  <si>
    <t>CUST-1528</t>
  </si>
  <si>
    <t>CUST-1529</t>
  </si>
  <si>
    <t>CUST-1530</t>
  </si>
  <si>
    <t>CUST-1531</t>
  </si>
  <si>
    <t>CUST-1532</t>
  </si>
  <si>
    <t>CUST-1533</t>
  </si>
  <si>
    <t>CUST-1534</t>
  </si>
  <si>
    <t>CUST-1535</t>
  </si>
  <si>
    <t>CUST-1536</t>
  </si>
  <si>
    <t>CUST-1537</t>
  </si>
  <si>
    <t>CUST-1538</t>
  </si>
  <si>
    <t>CUST-1539</t>
  </si>
  <si>
    <t>CUST-1540</t>
  </si>
  <si>
    <t>CUST-1541</t>
  </si>
  <si>
    <t>CUST-1542</t>
  </si>
  <si>
    <t>CUST-1543</t>
  </si>
  <si>
    <t>CUST-1544</t>
  </si>
  <si>
    <t>CUST-1545</t>
  </si>
  <si>
    <t>CUST-1546</t>
  </si>
  <si>
    <t>CUST-1547</t>
  </si>
  <si>
    <t>CUST-1548</t>
  </si>
  <si>
    <t>CUST-1549</t>
  </si>
  <si>
    <t>CUST-1550</t>
  </si>
  <si>
    <t>CUST-1551</t>
  </si>
  <si>
    <t>CUST-1552</t>
  </si>
  <si>
    <t>CUST-1553</t>
  </si>
  <si>
    <t>CUST-1554</t>
  </si>
  <si>
    <t>CUST-1555</t>
  </si>
  <si>
    <t>CUST-1556</t>
  </si>
  <si>
    <t>CUST-1557</t>
  </si>
  <si>
    <t>CUST-1558</t>
  </si>
  <si>
    <t>CUST-1559</t>
  </si>
  <si>
    <t>CUST-1560</t>
  </si>
  <si>
    <t>CUST-1561</t>
  </si>
  <si>
    <t>CUST-1562</t>
  </si>
  <si>
    <t>CUST-1563</t>
  </si>
  <si>
    <t>CUST-1564</t>
  </si>
  <si>
    <t>CUST-1565</t>
  </si>
  <si>
    <t>CUST-1566</t>
  </si>
  <si>
    <t>CUST-1567</t>
  </si>
  <si>
    <t>CUST-1568</t>
  </si>
  <si>
    <t>CUST-1569</t>
  </si>
  <si>
    <t>CUST-1570</t>
  </si>
  <si>
    <t>CUST-1571</t>
  </si>
  <si>
    <t>CUST-1572</t>
  </si>
  <si>
    <t>CUST-1573</t>
  </si>
  <si>
    <t>CUST-1574</t>
  </si>
  <si>
    <t>CUST-1575</t>
  </si>
  <si>
    <t>CUST-1576</t>
  </si>
  <si>
    <t>CUST-1577</t>
  </si>
  <si>
    <t>CUST-1578</t>
  </si>
  <si>
    <t>CUST-1579</t>
  </si>
  <si>
    <t>CUST-1580</t>
  </si>
  <si>
    <t>CUST-1581</t>
  </si>
  <si>
    <t>CUST-1582</t>
  </si>
  <si>
    <t>CUST-1583</t>
  </si>
  <si>
    <t>CUST-1584</t>
  </si>
  <si>
    <t>CUST-1585</t>
  </si>
  <si>
    <t>CUST-1586</t>
  </si>
  <si>
    <t>CUST-1587</t>
  </si>
  <si>
    <t>CUST-1588</t>
  </si>
  <si>
    <t>CUST-1589</t>
  </si>
  <si>
    <t>CUST-1590</t>
  </si>
  <si>
    <t>CUST-1591</t>
  </si>
  <si>
    <t>CUST-1592</t>
  </si>
  <si>
    <t>CUST-1593</t>
  </si>
  <si>
    <t>CUST-1594</t>
  </si>
  <si>
    <t>CUST-1595</t>
  </si>
  <si>
    <t>CUST-1596</t>
  </si>
  <si>
    <t>CUST-1597</t>
  </si>
  <si>
    <t>CUST-1598</t>
  </si>
  <si>
    <t>CUST-1599</t>
  </si>
  <si>
    <t>CUST-1600</t>
  </si>
  <si>
    <t>CUST-1601</t>
  </si>
  <si>
    <t>CUST-1602</t>
  </si>
  <si>
    <t>CUST-1603</t>
  </si>
  <si>
    <t>CUST-1604</t>
  </si>
  <si>
    <t>CUST-1605</t>
  </si>
  <si>
    <t>CUST-1606</t>
  </si>
  <si>
    <t>CUST-1607</t>
  </si>
  <si>
    <t>CUST-1608</t>
  </si>
  <si>
    <t>CUST-1609</t>
  </si>
  <si>
    <t>CUST-1610</t>
  </si>
  <si>
    <t>CUST-1611</t>
  </si>
  <si>
    <t>CUST-1612</t>
  </si>
  <si>
    <t>CUST-1613</t>
  </si>
  <si>
    <t>CUST-1614</t>
  </si>
  <si>
    <t>CUST-1615</t>
  </si>
  <si>
    <t>CUST-1616</t>
  </si>
  <si>
    <t>CUST-1617</t>
  </si>
  <si>
    <t>CUST-1618</t>
  </si>
  <si>
    <t>CUST-1619</t>
  </si>
  <si>
    <t>CUST-1620</t>
  </si>
  <si>
    <t>CUST-1621</t>
  </si>
  <si>
    <t>CUST-1622</t>
  </si>
  <si>
    <t>CUST-1623</t>
  </si>
  <si>
    <t>CUST-1624</t>
  </si>
  <si>
    <t>CUST-1625</t>
  </si>
  <si>
    <t>CUST-1626</t>
  </si>
  <si>
    <t>CUST-1627</t>
  </si>
  <si>
    <t>CUST-1628</t>
  </si>
  <si>
    <t>CUST-1629</t>
  </si>
  <si>
    <t>CUST-1630</t>
  </si>
  <si>
    <t>CUST-1631</t>
  </si>
  <si>
    <t>CUST-1632</t>
  </si>
  <si>
    <t>CUST-1633</t>
  </si>
  <si>
    <t>CUST-1634</t>
  </si>
  <si>
    <t>CUST-1635</t>
  </si>
  <si>
    <t>CUST-1636</t>
  </si>
  <si>
    <t>CUST-1637</t>
  </si>
  <si>
    <t>CUST-1638</t>
  </si>
  <si>
    <t>CUST-1639</t>
  </si>
  <si>
    <t>CUST-1640</t>
  </si>
  <si>
    <t>CUST-1641</t>
  </si>
  <si>
    <t>CUST-1642</t>
  </si>
  <si>
    <t>CUST-1643</t>
  </si>
  <si>
    <t>CUST-1644</t>
  </si>
  <si>
    <t>CUST-1645</t>
  </si>
  <si>
    <t>CUST-1646</t>
  </si>
  <si>
    <t>CUST-1647</t>
  </si>
  <si>
    <t>CUST-1648</t>
  </si>
  <si>
    <t>CUST-1649</t>
  </si>
  <si>
    <t>CUST-1650</t>
  </si>
  <si>
    <t>CUST-1651</t>
  </si>
  <si>
    <t>CUST-1652</t>
  </si>
  <si>
    <t>CUST-1653</t>
  </si>
  <si>
    <t>CUST-1654</t>
  </si>
  <si>
    <t>CUST-1655</t>
  </si>
  <si>
    <t>CUST-1656</t>
  </si>
  <si>
    <t>CUST-1657</t>
  </si>
  <si>
    <t>CUST-1658</t>
  </si>
  <si>
    <t>CUST-1659</t>
  </si>
  <si>
    <t>CUST-1660</t>
  </si>
  <si>
    <t>CUST-1661</t>
  </si>
  <si>
    <t>CUST-1662</t>
  </si>
  <si>
    <t>CUST-1663</t>
  </si>
  <si>
    <t>CUST-1664</t>
  </si>
  <si>
    <t>CUST-1665</t>
  </si>
  <si>
    <t>CUST-1666</t>
  </si>
  <si>
    <t>CUST-1667</t>
  </si>
  <si>
    <t>CUST-1668</t>
  </si>
  <si>
    <t>CUST-1669</t>
  </si>
  <si>
    <t>CUST-1670</t>
  </si>
  <si>
    <t>CUST-1671</t>
  </si>
  <si>
    <t>CUST-1672</t>
  </si>
  <si>
    <t>CUST-1673</t>
  </si>
  <si>
    <t>CUST-1674</t>
  </si>
  <si>
    <t>CUST-1675</t>
  </si>
  <si>
    <t>CUST-1676</t>
  </si>
  <si>
    <t>CUST-1677</t>
  </si>
  <si>
    <t>CUST-1678</t>
  </si>
  <si>
    <t>CUST-1679</t>
  </si>
  <si>
    <t>CUST-1680</t>
  </si>
  <si>
    <t>CUST-1681</t>
  </si>
  <si>
    <t>CUST-1682</t>
  </si>
  <si>
    <t>CUST-1683</t>
  </si>
  <si>
    <t>CUST-1684</t>
  </si>
  <si>
    <t>CUST-1685</t>
  </si>
  <si>
    <t>CUST-1686</t>
  </si>
  <si>
    <t>CUST-1687</t>
  </si>
  <si>
    <t>CUST-1688</t>
  </si>
  <si>
    <t>CUST-1689</t>
  </si>
  <si>
    <t>CUST-1690</t>
  </si>
  <si>
    <t>CUST-1691</t>
  </si>
  <si>
    <t>CUST-1692</t>
  </si>
  <si>
    <t>CUST-1693</t>
  </si>
  <si>
    <t>CUST-1694</t>
  </si>
  <si>
    <t>CUST-1695</t>
  </si>
  <si>
    <t>CUST-1696</t>
  </si>
  <si>
    <t>CUST-1697</t>
  </si>
  <si>
    <t>CUST-1698</t>
  </si>
  <si>
    <t>CUST-1699</t>
  </si>
  <si>
    <t>CUST-1700</t>
  </si>
  <si>
    <t>CUST-1701</t>
  </si>
  <si>
    <t>CUST-1702</t>
  </si>
  <si>
    <t>CUST-1703</t>
  </si>
  <si>
    <t>CUST-1704</t>
  </si>
  <si>
    <t>CUST-1705</t>
  </si>
  <si>
    <t>CUST-1706</t>
  </si>
  <si>
    <t>CUST-1707</t>
  </si>
  <si>
    <t>CUST-1708</t>
  </si>
  <si>
    <t>CUST-1709</t>
  </si>
  <si>
    <t>CUST-1710</t>
  </si>
  <si>
    <t>CUST-1711</t>
  </si>
  <si>
    <t>CUST-1712</t>
  </si>
  <si>
    <t>CUST-1713</t>
  </si>
  <si>
    <t>CUST-1714</t>
  </si>
  <si>
    <t>CUST-1715</t>
  </si>
  <si>
    <t>CUST-1716</t>
  </si>
  <si>
    <t>CUST-1717</t>
  </si>
  <si>
    <t>CUST-1718</t>
  </si>
  <si>
    <t>CUST-1719</t>
  </si>
  <si>
    <t>CUST-1720</t>
  </si>
  <si>
    <t>CUST-1721</t>
  </si>
  <si>
    <t>CUST-1722</t>
  </si>
  <si>
    <t>CUST-1723</t>
  </si>
  <si>
    <t>CUST-1724</t>
  </si>
  <si>
    <t>CUST-1725</t>
  </si>
  <si>
    <t>CUST-1726</t>
  </si>
  <si>
    <t>CUST-1727</t>
  </si>
  <si>
    <t>CUST-1728</t>
  </si>
  <si>
    <t>CUST-1729</t>
  </si>
  <si>
    <t>CUST-1730</t>
  </si>
  <si>
    <t>CUST-1731</t>
  </si>
  <si>
    <t>CUST-1732</t>
  </si>
  <si>
    <t>CUST-1733</t>
  </si>
  <si>
    <t>CUST-1734</t>
  </si>
  <si>
    <t>CUST-1735</t>
  </si>
  <si>
    <t>CUST-1736</t>
  </si>
  <si>
    <t>CUST-1737</t>
  </si>
  <si>
    <t>CUST-1738</t>
  </si>
  <si>
    <t>CUST-1739</t>
  </si>
  <si>
    <t>CUST-1740</t>
  </si>
  <si>
    <t>CUST-1741</t>
  </si>
  <si>
    <t>CUST-1742</t>
  </si>
  <si>
    <t>CUST-1743</t>
  </si>
  <si>
    <t>CUST-1744</t>
  </si>
  <si>
    <t>CUST-1745</t>
  </si>
  <si>
    <t>CUST-1746</t>
  </si>
  <si>
    <t>CUST-1747</t>
  </si>
  <si>
    <t>CUST-1748</t>
  </si>
  <si>
    <t>CUST-1749</t>
  </si>
  <si>
    <t>CUST-1750</t>
  </si>
  <si>
    <t>CUST-1751</t>
  </si>
  <si>
    <t>CUST-1752</t>
  </si>
  <si>
    <t>CUST-1753</t>
  </si>
  <si>
    <t>CUST-1754</t>
  </si>
  <si>
    <t>CUST-1755</t>
  </si>
  <si>
    <t>CUST-1756</t>
  </si>
  <si>
    <t>CUST-1757</t>
  </si>
  <si>
    <t>CUST-1758</t>
  </si>
  <si>
    <t>CUST-1759</t>
  </si>
  <si>
    <t>CUST-1760</t>
  </si>
  <si>
    <t>CUST-1761</t>
  </si>
  <si>
    <t>CUST-1762</t>
  </si>
  <si>
    <t>CUST-1763</t>
  </si>
  <si>
    <t>CUST-1764</t>
  </si>
  <si>
    <t>CUST-1765</t>
  </si>
  <si>
    <t>CUST-1766</t>
  </si>
  <si>
    <t>CUST-1767</t>
  </si>
  <si>
    <t>CUST-1768</t>
  </si>
  <si>
    <t>CUST-1769</t>
  </si>
  <si>
    <t>CUST-1770</t>
  </si>
  <si>
    <t>CUST-1771</t>
  </si>
  <si>
    <t>CUST-1772</t>
  </si>
  <si>
    <t>CUST-1773</t>
  </si>
  <si>
    <t>CUST-1774</t>
  </si>
  <si>
    <t>CUST-1775</t>
  </si>
  <si>
    <t>CUST-1776</t>
  </si>
  <si>
    <t>CUST-1777</t>
  </si>
  <si>
    <t>CUST-1778</t>
  </si>
  <si>
    <t>CUST-1779</t>
  </si>
  <si>
    <t>CUST-1780</t>
  </si>
  <si>
    <t>CUST-1781</t>
  </si>
  <si>
    <t>CUST-1782</t>
  </si>
  <si>
    <t>CUST-1783</t>
  </si>
  <si>
    <t>CUST-1784</t>
  </si>
  <si>
    <t>CUST-1785</t>
  </si>
  <si>
    <t>CUST-1786</t>
  </si>
  <si>
    <t>CUST-1787</t>
  </si>
  <si>
    <t>CUST-1788</t>
  </si>
  <si>
    <t>CUST-1789</t>
  </si>
  <si>
    <t>CUST-1790</t>
  </si>
  <si>
    <t>CUST-1791</t>
  </si>
  <si>
    <t>CUST-1792</t>
  </si>
  <si>
    <t>CUST-1793</t>
  </si>
  <si>
    <t>CUST-1794</t>
  </si>
  <si>
    <t>CUST-1795</t>
  </si>
  <si>
    <t>CUST-1796</t>
  </si>
  <si>
    <t>CUST-1797</t>
  </si>
  <si>
    <t>CUST-1798</t>
  </si>
  <si>
    <t>CUST-1799</t>
  </si>
  <si>
    <t>CUST-1800</t>
  </si>
  <si>
    <t>CUST-1801</t>
  </si>
  <si>
    <t>CUST-1802</t>
  </si>
  <si>
    <t>CUST-1803</t>
  </si>
  <si>
    <t>CUST-1804</t>
  </si>
  <si>
    <t>CUST-1805</t>
  </si>
  <si>
    <t>CUST-1806</t>
  </si>
  <si>
    <t>CUST-1807</t>
  </si>
  <si>
    <t>CUST-1808</t>
  </si>
  <si>
    <t>CUST-1809</t>
  </si>
  <si>
    <t>CUST-1810</t>
  </si>
  <si>
    <t>CUST-1811</t>
  </si>
  <si>
    <t>CUST-1812</t>
  </si>
  <si>
    <t>CUST-1813</t>
  </si>
  <si>
    <t>CUST-1814</t>
  </si>
  <si>
    <t>CUST-1815</t>
  </si>
  <si>
    <t>CUST-1816</t>
  </si>
  <si>
    <t>CUST-1817</t>
  </si>
  <si>
    <t>CUST-1818</t>
  </si>
  <si>
    <t>CUST-1819</t>
  </si>
  <si>
    <t>CUST-1820</t>
  </si>
  <si>
    <t>CUST-1821</t>
  </si>
  <si>
    <t>CUST-1822</t>
  </si>
  <si>
    <t>CUST-1823</t>
  </si>
  <si>
    <t>CUST-1824</t>
  </si>
  <si>
    <t>CUST-1825</t>
  </si>
  <si>
    <t>CUST-1826</t>
  </si>
  <si>
    <t>CUST-1827</t>
  </si>
  <si>
    <t>CUST-1828</t>
  </si>
  <si>
    <t>CUST-1829</t>
  </si>
  <si>
    <t>CUST-1830</t>
  </si>
  <si>
    <t>CUST-1831</t>
  </si>
  <si>
    <t>CUST-1832</t>
  </si>
  <si>
    <t>CUST-1833</t>
  </si>
  <si>
    <t>CUST-1834</t>
  </si>
  <si>
    <t>CUST-1835</t>
  </si>
  <si>
    <t>CUST-1836</t>
  </si>
  <si>
    <t>CUST-1837</t>
  </si>
  <si>
    <t>CUST-1838</t>
  </si>
  <si>
    <t>CUST-1839</t>
  </si>
  <si>
    <t>CUST-1840</t>
  </si>
  <si>
    <t>CUST-1841</t>
  </si>
  <si>
    <t>CUST-1842</t>
  </si>
  <si>
    <t>CUST-1843</t>
  </si>
  <si>
    <t>CUST-1844</t>
  </si>
  <si>
    <t>CUST-1845</t>
  </si>
  <si>
    <t>CUST-1846</t>
  </si>
  <si>
    <t>CUST-1847</t>
  </si>
  <si>
    <t>CUST-1848</t>
  </si>
  <si>
    <t>CUST-1849</t>
  </si>
  <si>
    <t>CUST-1850</t>
  </si>
  <si>
    <t>CUST-1851</t>
  </si>
  <si>
    <t>CUST-1852</t>
  </si>
  <si>
    <t>CUST-1853</t>
  </si>
  <si>
    <t>CUST-1854</t>
  </si>
  <si>
    <t>CUST-1855</t>
  </si>
  <si>
    <t>CUST-1856</t>
  </si>
  <si>
    <t>CUST-1857</t>
  </si>
  <si>
    <t>CUST-1858</t>
  </si>
  <si>
    <t>CUST-1859</t>
  </si>
  <si>
    <t>CUST-1860</t>
  </si>
  <si>
    <t>CUST-1861</t>
  </si>
  <si>
    <t>CUST-1862</t>
  </si>
  <si>
    <t>CUST-1863</t>
  </si>
  <si>
    <t>CUST-1864</t>
  </si>
  <si>
    <t>CUST-1865</t>
  </si>
  <si>
    <t>CUST-1866</t>
  </si>
  <si>
    <t>CUST-1867</t>
  </si>
  <si>
    <t>CUST-1868</t>
  </si>
  <si>
    <t>CUST-1869</t>
  </si>
  <si>
    <t>CUST-1870</t>
  </si>
  <si>
    <t>CUST-1871</t>
  </si>
  <si>
    <t>CUST-1872</t>
  </si>
  <si>
    <t>CUST-1873</t>
  </si>
  <si>
    <t>CUST-1874</t>
  </si>
  <si>
    <t>CUST-1875</t>
  </si>
  <si>
    <t>CUST-1876</t>
  </si>
  <si>
    <t>CUST-1877</t>
  </si>
  <si>
    <t>CUST-1878</t>
  </si>
  <si>
    <t>CUST-1879</t>
  </si>
  <si>
    <t>CUST-1880</t>
  </si>
  <si>
    <t>CUST-1881</t>
  </si>
  <si>
    <t>CUST-1882</t>
  </si>
  <si>
    <t>CUST-1883</t>
  </si>
  <si>
    <t>CUST-1884</t>
  </si>
  <si>
    <t>CUST-1885</t>
  </si>
  <si>
    <t>CUST-1886</t>
  </si>
  <si>
    <t>CUST-1887</t>
  </si>
  <si>
    <t>CUST-1888</t>
  </si>
  <si>
    <t>CUST-1889</t>
  </si>
  <si>
    <t>CUST-1890</t>
  </si>
  <si>
    <t>CUST-1891</t>
  </si>
  <si>
    <t>CUST-1892</t>
  </si>
  <si>
    <t>CUST-1893</t>
  </si>
  <si>
    <t>CUST-1894</t>
  </si>
  <si>
    <t>CUST-1895</t>
  </si>
  <si>
    <t>CUST-1896</t>
  </si>
  <si>
    <t>CUST-1897</t>
  </si>
  <si>
    <t>CUST-1898</t>
  </si>
  <si>
    <t>CUST-1899</t>
  </si>
  <si>
    <t>CUST-1900</t>
  </si>
  <si>
    <t>CUST-1901</t>
  </si>
  <si>
    <t>CUST-1902</t>
  </si>
  <si>
    <t>CUST-1903</t>
  </si>
  <si>
    <t>CUST-1904</t>
  </si>
  <si>
    <t>CUST-1905</t>
  </si>
  <si>
    <t>CUST-1906</t>
  </si>
  <si>
    <t>CUST-1907</t>
  </si>
  <si>
    <t>CUST-1908</t>
  </si>
  <si>
    <t>CUST-1909</t>
  </si>
  <si>
    <t>CUST-1910</t>
  </si>
  <si>
    <t>CUST-1911</t>
  </si>
  <si>
    <t>CUST-1912</t>
  </si>
  <si>
    <t>CUST-1913</t>
  </si>
  <si>
    <t>CUST-1914</t>
  </si>
  <si>
    <t>CUST-1915</t>
  </si>
  <si>
    <t>CUST-1916</t>
  </si>
  <si>
    <t>CUST-1917</t>
  </si>
  <si>
    <t>CUST-1918</t>
  </si>
  <si>
    <t>CUST-1919</t>
  </si>
  <si>
    <t>CUST-1920</t>
  </si>
  <si>
    <t>CUST-1921</t>
  </si>
  <si>
    <t>CUST-1922</t>
  </si>
  <si>
    <t>CUST-1923</t>
  </si>
  <si>
    <t>CUST-1924</t>
  </si>
  <si>
    <t>CUST-1925</t>
  </si>
  <si>
    <t>CUST-1926</t>
  </si>
  <si>
    <t>CUST-1927</t>
  </si>
  <si>
    <t>CUST-1928</t>
  </si>
  <si>
    <t>CUST-1929</t>
  </si>
  <si>
    <t>CUST-1930</t>
  </si>
  <si>
    <t>CUST-1931</t>
  </si>
  <si>
    <t>CUST-1932</t>
  </si>
  <si>
    <t>CUST-1933</t>
  </si>
  <si>
    <t>CUST-1934</t>
  </si>
  <si>
    <t>CUST-1935</t>
  </si>
  <si>
    <t>CUST-1936</t>
  </si>
  <si>
    <t>CUST-1937</t>
  </si>
  <si>
    <t>CUST-1938</t>
  </si>
  <si>
    <t>CUST-1939</t>
  </si>
  <si>
    <t>CUST-1940</t>
  </si>
  <si>
    <t>CUST-1941</t>
  </si>
  <si>
    <t>CUST-1942</t>
  </si>
  <si>
    <t>CUST-1943</t>
  </si>
  <si>
    <t>CUST-1944</t>
  </si>
  <si>
    <t>CUST-1945</t>
  </si>
  <si>
    <t>CUST-1946</t>
  </si>
  <si>
    <t>CUST-1947</t>
  </si>
  <si>
    <t>CUST-1948</t>
  </si>
  <si>
    <t>CUST-1949</t>
  </si>
  <si>
    <t>CUST-1950</t>
  </si>
  <si>
    <t>CUST-1951</t>
  </si>
  <si>
    <t>CUST-1952</t>
  </si>
  <si>
    <t>CUST-1953</t>
  </si>
  <si>
    <t>CUST-1954</t>
  </si>
  <si>
    <t>CUST-1955</t>
  </si>
  <si>
    <t>CUST-1956</t>
  </si>
  <si>
    <t>CUST-1957</t>
  </si>
  <si>
    <t>CUST-1958</t>
  </si>
  <si>
    <t>CUST-1959</t>
  </si>
  <si>
    <t>CUST-1960</t>
  </si>
  <si>
    <t>CUST-1961</t>
  </si>
  <si>
    <t>CUST-1962</t>
  </si>
  <si>
    <t>CUST-1963</t>
  </si>
  <si>
    <t>CUST-1964</t>
  </si>
  <si>
    <t>CUST-1965</t>
  </si>
  <si>
    <t>CUST-1966</t>
  </si>
  <si>
    <t>CUST-1967</t>
  </si>
  <si>
    <t>CUST-1968</t>
  </si>
  <si>
    <t>CUST-1969</t>
  </si>
  <si>
    <t>CUST-1970</t>
  </si>
  <si>
    <t>CUST-1971</t>
  </si>
  <si>
    <t>CUST-1972</t>
  </si>
  <si>
    <t>CUST-1973</t>
  </si>
  <si>
    <t>CUST-1974</t>
  </si>
  <si>
    <t>CUST-1975</t>
  </si>
  <si>
    <t>CUST-1976</t>
  </si>
  <si>
    <t>CUST-1977</t>
  </si>
  <si>
    <t>CUST-1978</t>
  </si>
  <si>
    <t>CUST-1979</t>
  </si>
  <si>
    <t>CUST-1980</t>
  </si>
  <si>
    <t>CUST-1981</t>
  </si>
  <si>
    <t>CUST-1982</t>
  </si>
  <si>
    <t>CUST-1983</t>
  </si>
  <si>
    <t>CUST-1984</t>
  </si>
  <si>
    <t>CUST-1985</t>
  </si>
  <si>
    <t>CUST-1986</t>
  </si>
  <si>
    <t>CUST-1987</t>
  </si>
  <si>
    <t>CUST-1988</t>
  </si>
  <si>
    <t>CUST-1989</t>
  </si>
  <si>
    <t>CUST-1990</t>
  </si>
  <si>
    <t>CUST-1991</t>
  </si>
  <si>
    <t>CUST-1992</t>
  </si>
  <si>
    <t>CUST-1993</t>
  </si>
  <si>
    <t>CUST-1994</t>
  </si>
  <si>
    <t>CUST-1995</t>
  </si>
  <si>
    <t>CUST-1996</t>
  </si>
  <si>
    <t>CUST-1997</t>
  </si>
  <si>
    <t>CUST-1998</t>
  </si>
  <si>
    <t>CUST-1999</t>
  </si>
  <si>
    <t>Name0</t>
  </si>
  <si>
    <t>Name1</t>
  </si>
  <si>
    <t>Name2</t>
  </si>
  <si>
    <t>Name3</t>
  </si>
  <si>
    <t>Name4</t>
  </si>
  <si>
    <t>Name5</t>
  </si>
  <si>
    <t>Name6</t>
  </si>
  <si>
    <t>Name7</t>
  </si>
  <si>
    <t>Name8</t>
  </si>
  <si>
    <t>Name9</t>
  </si>
  <si>
    <t>Name10</t>
  </si>
  <si>
    <t>Name11</t>
  </si>
  <si>
    <t>Name12</t>
  </si>
  <si>
    <t>Name13</t>
  </si>
  <si>
    <t>Name14</t>
  </si>
  <si>
    <t>Name15</t>
  </si>
  <si>
    <t>Name16</t>
  </si>
  <si>
    <t>Name17</t>
  </si>
  <si>
    <t>Name18</t>
  </si>
  <si>
    <t>Name19</t>
  </si>
  <si>
    <t>Name20</t>
  </si>
  <si>
    <t>Name21</t>
  </si>
  <si>
    <t>Name22</t>
  </si>
  <si>
    <t>Name23</t>
  </si>
  <si>
    <t>Name24</t>
  </si>
  <si>
    <t>Name25</t>
  </si>
  <si>
    <t>Name26</t>
  </si>
  <si>
    <t>Name27</t>
  </si>
  <si>
    <t>Name28</t>
  </si>
  <si>
    <t>Name29</t>
  </si>
  <si>
    <t>Name30</t>
  </si>
  <si>
    <t>Name31</t>
  </si>
  <si>
    <t>Name32</t>
  </si>
  <si>
    <t>Name33</t>
  </si>
  <si>
    <t>Name34</t>
  </si>
  <si>
    <t>Name35</t>
  </si>
  <si>
    <t>Name36</t>
  </si>
  <si>
    <t>Name37</t>
  </si>
  <si>
    <t>Name38</t>
  </si>
  <si>
    <t>Name39</t>
  </si>
  <si>
    <t>Name40</t>
  </si>
  <si>
    <t>Name41</t>
  </si>
  <si>
    <t>Name42</t>
  </si>
  <si>
    <t>Name43</t>
  </si>
  <si>
    <t>Name44</t>
  </si>
  <si>
    <t>Name45</t>
  </si>
  <si>
    <t>Name46</t>
  </si>
  <si>
    <t>Name47</t>
  </si>
  <si>
    <t>Name48</t>
  </si>
  <si>
    <t>Name49</t>
  </si>
  <si>
    <t>Name50</t>
  </si>
  <si>
    <t>Name51</t>
  </si>
  <si>
    <t>Name52</t>
  </si>
  <si>
    <t>Name53</t>
  </si>
  <si>
    <t>Name54</t>
  </si>
  <si>
    <t>Name55</t>
  </si>
  <si>
    <t>Name56</t>
  </si>
  <si>
    <t>Name57</t>
  </si>
  <si>
    <t>Name58</t>
  </si>
  <si>
    <t>Name59</t>
  </si>
  <si>
    <t>Name60</t>
  </si>
  <si>
    <t>Name61</t>
  </si>
  <si>
    <t>Name62</t>
  </si>
  <si>
    <t>Name63</t>
  </si>
  <si>
    <t>Name64</t>
  </si>
  <si>
    <t>Name65</t>
  </si>
  <si>
    <t>Name66</t>
  </si>
  <si>
    <t>Name67</t>
  </si>
  <si>
    <t>Name68</t>
  </si>
  <si>
    <t>Name69</t>
  </si>
  <si>
    <t>Name70</t>
  </si>
  <si>
    <t>Name71</t>
  </si>
  <si>
    <t>Name72</t>
  </si>
  <si>
    <t>Name73</t>
  </si>
  <si>
    <t>Name74</t>
  </si>
  <si>
    <t>Name75</t>
  </si>
  <si>
    <t>Name76</t>
  </si>
  <si>
    <t>Name77</t>
  </si>
  <si>
    <t>Name78</t>
  </si>
  <si>
    <t>Name79</t>
  </si>
  <si>
    <t>Name80</t>
  </si>
  <si>
    <t>Name81</t>
  </si>
  <si>
    <t>Name82</t>
  </si>
  <si>
    <t>Name83</t>
  </si>
  <si>
    <t>Name84</t>
  </si>
  <si>
    <t>Name85</t>
  </si>
  <si>
    <t>Name86</t>
  </si>
  <si>
    <t>Name87</t>
  </si>
  <si>
    <t>Name88</t>
  </si>
  <si>
    <t>Name89</t>
  </si>
  <si>
    <t>Name90</t>
  </si>
  <si>
    <t>Name91</t>
  </si>
  <si>
    <t>Name92</t>
  </si>
  <si>
    <t>Name93</t>
  </si>
  <si>
    <t>Name94</t>
  </si>
  <si>
    <t>Name95</t>
  </si>
  <si>
    <t>Name96</t>
  </si>
  <si>
    <t>Name97</t>
  </si>
  <si>
    <t>Name98</t>
  </si>
  <si>
    <t>Name99</t>
  </si>
  <si>
    <t>Name100</t>
  </si>
  <si>
    <t>Name101</t>
  </si>
  <si>
    <t>Name102</t>
  </si>
  <si>
    <t>Name103</t>
  </si>
  <si>
    <t>Name104</t>
  </si>
  <si>
    <t>Name105</t>
  </si>
  <si>
    <t>Name106</t>
  </si>
  <si>
    <t>Name107</t>
  </si>
  <si>
    <t>Name108</t>
  </si>
  <si>
    <t>Name109</t>
  </si>
  <si>
    <t>Name110</t>
  </si>
  <si>
    <t>Name111</t>
  </si>
  <si>
    <t>Name112</t>
  </si>
  <si>
    <t>Name113</t>
  </si>
  <si>
    <t>Name114</t>
  </si>
  <si>
    <t>Name115</t>
  </si>
  <si>
    <t>Name116</t>
  </si>
  <si>
    <t>Name117</t>
  </si>
  <si>
    <t>Name118</t>
  </si>
  <si>
    <t>Name119</t>
  </si>
  <si>
    <t>Name120</t>
  </si>
  <si>
    <t>Name121</t>
  </si>
  <si>
    <t>Name122</t>
  </si>
  <si>
    <t>Name123</t>
  </si>
  <si>
    <t>Name124</t>
  </si>
  <si>
    <t>Name125</t>
  </si>
  <si>
    <t>Name126</t>
  </si>
  <si>
    <t>Name127</t>
  </si>
  <si>
    <t>Name128</t>
  </si>
  <si>
    <t>Name129</t>
  </si>
  <si>
    <t>Name130</t>
  </si>
  <si>
    <t>Name131</t>
  </si>
  <si>
    <t>Name132</t>
  </si>
  <si>
    <t>Name133</t>
  </si>
  <si>
    <t>Name134</t>
  </si>
  <si>
    <t>Name135</t>
  </si>
  <si>
    <t>Name136</t>
  </si>
  <si>
    <t>Name137</t>
  </si>
  <si>
    <t>Name138</t>
  </si>
  <si>
    <t>Name139</t>
  </si>
  <si>
    <t>Name140</t>
  </si>
  <si>
    <t>Name141</t>
  </si>
  <si>
    <t>Name142</t>
  </si>
  <si>
    <t>Name143</t>
  </si>
  <si>
    <t>Name144</t>
  </si>
  <si>
    <t>Name145</t>
  </si>
  <si>
    <t>Name146</t>
  </si>
  <si>
    <t>Name147</t>
  </si>
  <si>
    <t>Name148</t>
  </si>
  <si>
    <t>Name149</t>
  </si>
  <si>
    <t>Name150</t>
  </si>
  <si>
    <t>Name151</t>
  </si>
  <si>
    <t>Name152</t>
  </si>
  <si>
    <t>Name153</t>
  </si>
  <si>
    <t>Name154</t>
  </si>
  <si>
    <t>Name155</t>
  </si>
  <si>
    <t>Name156</t>
  </si>
  <si>
    <t>Name157</t>
  </si>
  <si>
    <t>Name158</t>
  </si>
  <si>
    <t>Name159</t>
  </si>
  <si>
    <t>Name160</t>
  </si>
  <si>
    <t>Name161</t>
  </si>
  <si>
    <t>Name162</t>
  </si>
  <si>
    <t>Name163</t>
  </si>
  <si>
    <t>Name164</t>
  </si>
  <si>
    <t>Name165</t>
  </si>
  <si>
    <t>Name166</t>
  </si>
  <si>
    <t>Name167</t>
  </si>
  <si>
    <t>Name168</t>
  </si>
  <si>
    <t>Name169</t>
  </si>
  <si>
    <t>Name170</t>
  </si>
  <si>
    <t>Name171</t>
  </si>
  <si>
    <t>Name172</t>
  </si>
  <si>
    <t>Name173</t>
  </si>
  <si>
    <t>Name174</t>
  </si>
  <si>
    <t>Name175</t>
  </si>
  <si>
    <t>Name176</t>
  </si>
  <si>
    <t>Name177</t>
  </si>
  <si>
    <t>Name178</t>
  </si>
  <si>
    <t>Name179</t>
  </si>
  <si>
    <t>Name180</t>
  </si>
  <si>
    <t>Name181</t>
  </si>
  <si>
    <t>Name182</t>
  </si>
  <si>
    <t>Name183</t>
  </si>
  <si>
    <t>Name184</t>
  </si>
  <si>
    <t>Name185</t>
  </si>
  <si>
    <t>Name186</t>
  </si>
  <si>
    <t>Name187</t>
  </si>
  <si>
    <t>Name188</t>
  </si>
  <si>
    <t>Name189</t>
  </si>
  <si>
    <t>Name190</t>
  </si>
  <si>
    <t>Name191</t>
  </si>
  <si>
    <t>Name192</t>
  </si>
  <si>
    <t>Name193</t>
  </si>
  <si>
    <t>Name194</t>
  </si>
  <si>
    <t>Name195</t>
  </si>
  <si>
    <t>Name196</t>
  </si>
  <si>
    <t>Name197</t>
  </si>
  <si>
    <t>Name198</t>
  </si>
  <si>
    <t>Name199</t>
  </si>
  <si>
    <t>Name200</t>
  </si>
  <si>
    <t>Name201</t>
  </si>
  <si>
    <t>Name202</t>
  </si>
  <si>
    <t>Name203</t>
  </si>
  <si>
    <t>Name204</t>
  </si>
  <si>
    <t>Name205</t>
  </si>
  <si>
    <t>Name206</t>
  </si>
  <si>
    <t>Name207</t>
  </si>
  <si>
    <t>Name208</t>
  </si>
  <si>
    <t>Name209</t>
  </si>
  <si>
    <t>Name210</t>
  </si>
  <si>
    <t>Name211</t>
  </si>
  <si>
    <t>Name212</t>
  </si>
  <si>
    <t>Name213</t>
  </si>
  <si>
    <t>Name214</t>
  </si>
  <si>
    <t>Name215</t>
  </si>
  <si>
    <t>Name216</t>
  </si>
  <si>
    <t>Name217</t>
  </si>
  <si>
    <t>Name218</t>
  </si>
  <si>
    <t>Name219</t>
  </si>
  <si>
    <t>Name220</t>
  </si>
  <si>
    <t>Name221</t>
  </si>
  <si>
    <t>Name222</t>
  </si>
  <si>
    <t>Name223</t>
  </si>
  <si>
    <t>Name224</t>
  </si>
  <si>
    <t>Name225</t>
  </si>
  <si>
    <t>Name226</t>
  </si>
  <si>
    <t>Name227</t>
  </si>
  <si>
    <t>Name228</t>
  </si>
  <si>
    <t>Name229</t>
  </si>
  <si>
    <t>Name230</t>
  </si>
  <si>
    <t>Name231</t>
  </si>
  <si>
    <t>Name232</t>
  </si>
  <si>
    <t>Name233</t>
  </si>
  <si>
    <t>Name234</t>
  </si>
  <si>
    <t>Name235</t>
  </si>
  <si>
    <t>Name236</t>
  </si>
  <si>
    <t>Name237</t>
  </si>
  <si>
    <t>Name238</t>
  </si>
  <si>
    <t>Name239</t>
  </si>
  <si>
    <t>Name240</t>
  </si>
  <si>
    <t>Name241</t>
  </si>
  <si>
    <t>Name242</t>
  </si>
  <si>
    <t>Name243</t>
  </si>
  <si>
    <t>Name244</t>
  </si>
  <si>
    <t>Name245</t>
  </si>
  <si>
    <t>Name246</t>
  </si>
  <si>
    <t>Name247</t>
  </si>
  <si>
    <t>Name248</t>
  </si>
  <si>
    <t>Name249</t>
  </si>
  <si>
    <t>Name250</t>
  </si>
  <si>
    <t>Name251</t>
  </si>
  <si>
    <t>Name252</t>
  </si>
  <si>
    <t>Name253</t>
  </si>
  <si>
    <t>Name254</t>
  </si>
  <si>
    <t>Name255</t>
  </si>
  <si>
    <t>Name256</t>
  </si>
  <si>
    <t>Name257</t>
  </si>
  <si>
    <t>Name258</t>
  </si>
  <si>
    <t>Name259</t>
  </si>
  <si>
    <t>Name260</t>
  </si>
  <si>
    <t>Name261</t>
  </si>
  <si>
    <t>Name262</t>
  </si>
  <si>
    <t>Name263</t>
  </si>
  <si>
    <t>Name264</t>
  </si>
  <si>
    <t>Name265</t>
  </si>
  <si>
    <t>Name266</t>
  </si>
  <si>
    <t>Name267</t>
  </si>
  <si>
    <t>Name268</t>
  </si>
  <si>
    <t>Name269</t>
  </si>
  <si>
    <t>Name270</t>
  </si>
  <si>
    <t>Name271</t>
  </si>
  <si>
    <t>Name272</t>
  </si>
  <si>
    <t>Name273</t>
  </si>
  <si>
    <t>Name274</t>
  </si>
  <si>
    <t>Name275</t>
  </si>
  <si>
    <t>Name276</t>
  </si>
  <si>
    <t>Name277</t>
  </si>
  <si>
    <t>Name278</t>
  </si>
  <si>
    <t>Name279</t>
  </si>
  <si>
    <t>Name280</t>
  </si>
  <si>
    <t>Name281</t>
  </si>
  <si>
    <t>Name282</t>
  </si>
  <si>
    <t>Name283</t>
  </si>
  <si>
    <t>Name284</t>
  </si>
  <si>
    <t>Name285</t>
  </si>
  <si>
    <t>Name286</t>
  </si>
  <si>
    <t>Name287</t>
  </si>
  <si>
    <t>Name288</t>
  </si>
  <si>
    <t>Name289</t>
  </si>
  <si>
    <t>Name290</t>
  </si>
  <si>
    <t>Name291</t>
  </si>
  <si>
    <t>Name292</t>
  </si>
  <si>
    <t>Name293</t>
  </si>
  <si>
    <t>Name294</t>
  </si>
  <si>
    <t>Name295</t>
  </si>
  <si>
    <t>Name296</t>
  </si>
  <si>
    <t>Name297</t>
  </si>
  <si>
    <t>Name298</t>
  </si>
  <si>
    <t>Name299</t>
  </si>
  <si>
    <t>Name300</t>
  </si>
  <si>
    <t>Name301</t>
  </si>
  <si>
    <t>Name302</t>
  </si>
  <si>
    <t>Name303</t>
  </si>
  <si>
    <t>Name304</t>
  </si>
  <si>
    <t>Name305</t>
  </si>
  <si>
    <t>Name306</t>
  </si>
  <si>
    <t>Name307</t>
  </si>
  <si>
    <t>Name308</t>
  </si>
  <si>
    <t>Name309</t>
  </si>
  <si>
    <t>Name310</t>
  </si>
  <si>
    <t>Name311</t>
  </si>
  <si>
    <t>Name312</t>
  </si>
  <si>
    <t>Name313</t>
  </si>
  <si>
    <t>Name314</t>
  </si>
  <si>
    <t>Name315</t>
  </si>
  <si>
    <t>Name316</t>
  </si>
  <si>
    <t>Name317</t>
  </si>
  <si>
    <t>Name318</t>
  </si>
  <si>
    <t>Name319</t>
  </si>
  <si>
    <t>Name320</t>
  </si>
  <si>
    <t>Name321</t>
  </si>
  <si>
    <t>Name322</t>
  </si>
  <si>
    <t>Name323</t>
  </si>
  <si>
    <t>Name324</t>
  </si>
  <si>
    <t>Name325</t>
  </si>
  <si>
    <t>Name326</t>
  </si>
  <si>
    <t>Name327</t>
  </si>
  <si>
    <t>Name328</t>
  </si>
  <si>
    <t>Name329</t>
  </si>
  <si>
    <t>Name330</t>
  </si>
  <si>
    <t>Name331</t>
  </si>
  <si>
    <t>Name332</t>
  </si>
  <si>
    <t>Name333</t>
  </si>
  <si>
    <t>Name334</t>
  </si>
  <si>
    <t>Name335</t>
  </si>
  <si>
    <t>Name336</t>
  </si>
  <si>
    <t>Name337</t>
  </si>
  <si>
    <t>Name338</t>
  </si>
  <si>
    <t>Name339</t>
  </si>
  <si>
    <t>Name340</t>
  </si>
  <si>
    <t>Name341</t>
  </si>
  <si>
    <t>Name342</t>
  </si>
  <si>
    <t>Name343</t>
  </si>
  <si>
    <t>Name344</t>
  </si>
  <si>
    <t>Name345</t>
  </si>
  <si>
    <t>Name346</t>
  </si>
  <si>
    <t>Name347</t>
  </si>
  <si>
    <t>Name348</t>
  </si>
  <si>
    <t>Name349</t>
  </si>
  <si>
    <t>Name350</t>
  </si>
  <si>
    <t>Name351</t>
  </si>
  <si>
    <t>Name352</t>
  </si>
  <si>
    <t>Name353</t>
  </si>
  <si>
    <t>Name354</t>
  </si>
  <si>
    <t>Name355</t>
  </si>
  <si>
    <t>Name356</t>
  </si>
  <si>
    <t>Name357</t>
  </si>
  <si>
    <t>Name358</t>
  </si>
  <si>
    <t>Name359</t>
  </si>
  <si>
    <t>Name360</t>
  </si>
  <si>
    <t>Name361</t>
  </si>
  <si>
    <t>Name362</t>
  </si>
  <si>
    <t>Name363</t>
  </si>
  <si>
    <t>Name364</t>
  </si>
  <si>
    <t>Name365</t>
  </si>
  <si>
    <t>Name366</t>
  </si>
  <si>
    <t>Name367</t>
  </si>
  <si>
    <t>Name368</t>
  </si>
  <si>
    <t>Name369</t>
  </si>
  <si>
    <t>Name370</t>
  </si>
  <si>
    <t>Name371</t>
  </si>
  <si>
    <t>Name372</t>
  </si>
  <si>
    <t>Name373</t>
  </si>
  <si>
    <t>Name374</t>
  </si>
  <si>
    <t>Name375</t>
  </si>
  <si>
    <t>Name376</t>
  </si>
  <si>
    <t>Name377</t>
  </si>
  <si>
    <t>Name378</t>
  </si>
  <si>
    <t>Name379</t>
  </si>
  <si>
    <t>Name380</t>
  </si>
  <si>
    <t>Name381</t>
  </si>
  <si>
    <t>Name382</t>
  </si>
  <si>
    <t>Name383</t>
  </si>
  <si>
    <t>Name384</t>
  </si>
  <si>
    <t>Name385</t>
  </si>
  <si>
    <t>Name386</t>
  </si>
  <si>
    <t>Name387</t>
  </si>
  <si>
    <t>Name388</t>
  </si>
  <si>
    <t>Name389</t>
  </si>
  <si>
    <t>Name390</t>
  </si>
  <si>
    <t>Name391</t>
  </si>
  <si>
    <t>Name392</t>
  </si>
  <si>
    <t>Name393</t>
  </si>
  <si>
    <t>Name394</t>
  </si>
  <si>
    <t>Name395</t>
  </si>
  <si>
    <t>Name396</t>
  </si>
  <si>
    <t>Name397</t>
  </si>
  <si>
    <t>Name398</t>
  </si>
  <si>
    <t>Name399</t>
  </si>
  <si>
    <t>Name400</t>
  </si>
  <si>
    <t>Name401</t>
  </si>
  <si>
    <t>Name402</t>
  </si>
  <si>
    <t>Name403</t>
  </si>
  <si>
    <t>Name404</t>
  </si>
  <si>
    <t>Name405</t>
  </si>
  <si>
    <t>Name406</t>
  </si>
  <si>
    <t>Name407</t>
  </si>
  <si>
    <t>Name408</t>
  </si>
  <si>
    <t>Name409</t>
  </si>
  <si>
    <t>Name410</t>
  </si>
  <si>
    <t>Name411</t>
  </si>
  <si>
    <t>Name412</t>
  </si>
  <si>
    <t>Name413</t>
  </si>
  <si>
    <t>Name414</t>
  </si>
  <si>
    <t>Name415</t>
  </si>
  <si>
    <t>Name416</t>
  </si>
  <si>
    <t>Name417</t>
  </si>
  <si>
    <t>Name418</t>
  </si>
  <si>
    <t>Name419</t>
  </si>
  <si>
    <t>Name420</t>
  </si>
  <si>
    <t>Name421</t>
  </si>
  <si>
    <t>Name422</t>
  </si>
  <si>
    <t>Name423</t>
  </si>
  <si>
    <t>Name424</t>
  </si>
  <si>
    <t>Name425</t>
  </si>
  <si>
    <t>Name426</t>
  </si>
  <si>
    <t>Name427</t>
  </si>
  <si>
    <t>Name428</t>
  </si>
  <si>
    <t>Name429</t>
  </si>
  <si>
    <t>Name430</t>
  </si>
  <si>
    <t>Name431</t>
  </si>
  <si>
    <t>Name432</t>
  </si>
  <si>
    <t>Name433</t>
  </si>
  <si>
    <t>Name434</t>
  </si>
  <si>
    <t>Name435</t>
  </si>
  <si>
    <t>Name436</t>
  </si>
  <si>
    <t>Name437</t>
  </si>
  <si>
    <t>Name438</t>
  </si>
  <si>
    <t>Name439</t>
  </si>
  <si>
    <t>Name440</t>
  </si>
  <si>
    <t>Name441</t>
  </si>
  <si>
    <t>Name442</t>
  </si>
  <si>
    <t>Name443</t>
  </si>
  <si>
    <t>Name444</t>
  </si>
  <si>
    <t>Name445</t>
  </si>
  <si>
    <t>Name446</t>
  </si>
  <si>
    <t>Name447</t>
  </si>
  <si>
    <t>Name448</t>
  </si>
  <si>
    <t>Name449</t>
  </si>
  <si>
    <t>Name450</t>
  </si>
  <si>
    <t>Name451</t>
  </si>
  <si>
    <t>Name452</t>
  </si>
  <si>
    <t>Name453</t>
  </si>
  <si>
    <t>Name454</t>
  </si>
  <si>
    <t>Name455</t>
  </si>
  <si>
    <t>Name456</t>
  </si>
  <si>
    <t>Name457</t>
  </si>
  <si>
    <t>Name458</t>
  </si>
  <si>
    <t>Name459</t>
  </si>
  <si>
    <t>Name460</t>
  </si>
  <si>
    <t>Name461</t>
  </si>
  <si>
    <t>Name462</t>
  </si>
  <si>
    <t>Name463</t>
  </si>
  <si>
    <t>Name464</t>
  </si>
  <si>
    <t>Name465</t>
  </si>
  <si>
    <t>Name466</t>
  </si>
  <si>
    <t>Name467</t>
  </si>
  <si>
    <t>Name468</t>
  </si>
  <si>
    <t>Name469</t>
  </si>
  <si>
    <t>Name470</t>
  </si>
  <si>
    <t>Name471</t>
  </si>
  <si>
    <t>Name472</t>
  </si>
  <si>
    <t>Name473</t>
  </si>
  <si>
    <t>Name474</t>
  </si>
  <si>
    <t>Name475</t>
  </si>
  <si>
    <t>Name476</t>
  </si>
  <si>
    <t>Name477</t>
  </si>
  <si>
    <t>Name478</t>
  </si>
  <si>
    <t>Name479</t>
  </si>
  <si>
    <t>Name480</t>
  </si>
  <si>
    <t>Name481</t>
  </si>
  <si>
    <t>Name482</t>
  </si>
  <si>
    <t>Name483</t>
  </si>
  <si>
    <t>Name484</t>
  </si>
  <si>
    <t>Name485</t>
  </si>
  <si>
    <t>Name486</t>
  </si>
  <si>
    <t>Name487</t>
  </si>
  <si>
    <t>Name488</t>
  </si>
  <si>
    <t>Name489</t>
  </si>
  <si>
    <t>Name490</t>
  </si>
  <si>
    <t>Name491</t>
  </si>
  <si>
    <t>Name492</t>
  </si>
  <si>
    <t>Name493</t>
  </si>
  <si>
    <t>Name494</t>
  </si>
  <si>
    <t>Name495</t>
  </si>
  <si>
    <t>Name496</t>
  </si>
  <si>
    <t>Name497</t>
  </si>
  <si>
    <t>Name498</t>
  </si>
  <si>
    <t>Name499</t>
  </si>
  <si>
    <t>Name500</t>
  </si>
  <si>
    <t>Name501</t>
  </si>
  <si>
    <t>Name502</t>
  </si>
  <si>
    <t>Name503</t>
  </si>
  <si>
    <t>Name504</t>
  </si>
  <si>
    <t>Name505</t>
  </si>
  <si>
    <t>Name506</t>
  </si>
  <si>
    <t>Name507</t>
  </si>
  <si>
    <t>Name508</t>
  </si>
  <si>
    <t>Name509</t>
  </si>
  <si>
    <t>Name510</t>
  </si>
  <si>
    <t>Name511</t>
  </si>
  <si>
    <t>Name512</t>
  </si>
  <si>
    <t>Name513</t>
  </si>
  <si>
    <t>Name514</t>
  </si>
  <si>
    <t>Name515</t>
  </si>
  <si>
    <t>Name516</t>
  </si>
  <si>
    <t>Name517</t>
  </si>
  <si>
    <t>Name518</t>
  </si>
  <si>
    <t>Name519</t>
  </si>
  <si>
    <t>Name520</t>
  </si>
  <si>
    <t>Name521</t>
  </si>
  <si>
    <t>Name522</t>
  </si>
  <si>
    <t>Name523</t>
  </si>
  <si>
    <t>Name524</t>
  </si>
  <si>
    <t>Name525</t>
  </si>
  <si>
    <t>Name526</t>
  </si>
  <si>
    <t>Name527</t>
  </si>
  <si>
    <t>Name528</t>
  </si>
  <si>
    <t>Name529</t>
  </si>
  <si>
    <t>Name530</t>
  </si>
  <si>
    <t>Name531</t>
  </si>
  <si>
    <t>Name532</t>
  </si>
  <si>
    <t>Name533</t>
  </si>
  <si>
    <t>Name534</t>
  </si>
  <si>
    <t>Name535</t>
  </si>
  <si>
    <t>Name536</t>
  </si>
  <si>
    <t>Name537</t>
  </si>
  <si>
    <t>Name538</t>
  </si>
  <si>
    <t>Name539</t>
  </si>
  <si>
    <t>Name540</t>
  </si>
  <si>
    <t>Name541</t>
  </si>
  <si>
    <t>Name542</t>
  </si>
  <si>
    <t>Name543</t>
  </si>
  <si>
    <t>Name544</t>
  </si>
  <si>
    <t>Name545</t>
  </si>
  <si>
    <t>Name546</t>
  </si>
  <si>
    <t>Name547</t>
  </si>
  <si>
    <t>Name548</t>
  </si>
  <si>
    <t>Name549</t>
  </si>
  <si>
    <t>Name550</t>
  </si>
  <si>
    <t>Name551</t>
  </si>
  <si>
    <t>Name552</t>
  </si>
  <si>
    <t>Name553</t>
  </si>
  <si>
    <t>Name554</t>
  </si>
  <si>
    <t>Name555</t>
  </si>
  <si>
    <t>Name556</t>
  </si>
  <si>
    <t>Name557</t>
  </si>
  <si>
    <t>Name558</t>
  </si>
  <si>
    <t>Name559</t>
  </si>
  <si>
    <t>Name560</t>
  </si>
  <si>
    <t>Name561</t>
  </si>
  <si>
    <t>Name562</t>
  </si>
  <si>
    <t>Name563</t>
  </si>
  <si>
    <t>Name564</t>
  </si>
  <si>
    <t>Name565</t>
  </si>
  <si>
    <t>Name566</t>
  </si>
  <si>
    <t>Name567</t>
  </si>
  <si>
    <t>Name568</t>
  </si>
  <si>
    <t>Name569</t>
  </si>
  <si>
    <t>Name570</t>
  </si>
  <si>
    <t>Name571</t>
  </si>
  <si>
    <t>Name572</t>
  </si>
  <si>
    <t>Name573</t>
  </si>
  <si>
    <t>Name574</t>
  </si>
  <si>
    <t>Name575</t>
  </si>
  <si>
    <t>Name576</t>
  </si>
  <si>
    <t>Name577</t>
  </si>
  <si>
    <t>Name578</t>
  </si>
  <si>
    <t>Name579</t>
  </si>
  <si>
    <t>Name580</t>
  </si>
  <si>
    <t>Name581</t>
  </si>
  <si>
    <t>Name582</t>
  </si>
  <si>
    <t>Name583</t>
  </si>
  <si>
    <t>Name584</t>
  </si>
  <si>
    <t>Name585</t>
  </si>
  <si>
    <t>Name586</t>
  </si>
  <si>
    <t>Name587</t>
  </si>
  <si>
    <t>Name588</t>
  </si>
  <si>
    <t>Name589</t>
  </si>
  <si>
    <t>Name590</t>
  </si>
  <si>
    <t>Name591</t>
  </si>
  <si>
    <t>Name592</t>
  </si>
  <si>
    <t>Name593</t>
  </si>
  <si>
    <t>Name594</t>
  </si>
  <si>
    <t>Name595</t>
  </si>
  <si>
    <t>Name596</t>
  </si>
  <si>
    <t>Name597</t>
  </si>
  <si>
    <t>Name598</t>
  </si>
  <si>
    <t>Name599</t>
  </si>
  <si>
    <t>Name600</t>
  </si>
  <si>
    <t>Name601</t>
  </si>
  <si>
    <t>Name602</t>
  </si>
  <si>
    <t>Name603</t>
  </si>
  <si>
    <t>Name604</t>
  </si>
  <si>
    <t>Name605</t>
  </si>
  <si>
    <t>Name606</t>
  </si>
  <si>
    <t>Name607</t>
  </si>
  <si>
    <t>Name608</t>
  </si>
  <si>
    <t>Name609</t>
  </si>
  <si>
    <t>Name610</t>
  </si>
  <si>
    <t>Name611</t>
  </si>
  <si>
    <t>Name612</t>
  </si>
  <si>
    <t>Name613</t>
  </si>
  <si>
    <t>Name614</t>
  </si>
  <si>
    <t>Name615</t>
  </si>
  <si>
    <t>Name616</t>
  </si>
  <si>
    <t>Name617</t>
  </si>
  <si>
    <t>Name618</t>
  </si>
  <si>
    <t>Name619</t>
  </si>
  <si>
    <t>Name620</t>
  </si>
  <si>
    <t>Name621</t>
  </si>
  <si>
    <t>Name622</t>
  </si>
  <si>
    <t>Name623</t>
  </si>
  <si>
    <t>Name624</t>
  </si>
  <si>
    <t>Name625</t>
  </si>
  <si>
    <t>Name626</t>
  </si>
  <si>
    <t>Name627</t>
  </si>
  <si>
    <t>Name628</t>
  </si>
  <si>
    <t>Name629</t>
  </si>
  <si>
    <t>Name630</t>
  </si>
  <si>
    <t>Name631</t>
  </si>
  <si>
    <t>Name632</t>
  </si>
  <si>
    <t>Name633</t>
  </si>
  <si>
    <t>Name634</t>
  </si>
  <si>
    <t>Name635</t>
  </si>
  <si>
    <t>Name636</t>
  </si>
  <si>
    <t>Name637</t>
  </si>
  <si>
    <t>Name638</t>
  </si>
  <si>
    <t>Name639</t>
  </si>
  <si>
    <t>Name640</t>
  </si>
  <si>
    <t>Name641</t>
  </si>
  <si>
    <t>Name642</t>
  </si>
  <si>
    <t>Name643</t>
  </si>
  <si>
    <t>Name644</t>
  </si>
  <si>
    <t>Name645</t>
  </si>
  <si>
    <t>Name646</t>
  </si>
  <si>
    <t>Name647</t>
  </si>
  <si>
    <t>Name648</t>
  </si>
  <si>
    <t>Name649</t>
  </si>
  <si>
    <t>Name650</t>
  </si>
  <si>
    <t>Name651</t>
  </si>
  <si>
    <t>Name652</t>
  </si>
  <si>
    <t>Name653</t>
  </si>
  <si>
    <t>Name654</t>
  </si>
  <si>
    <t>Name655</t>
  </si>
  <si>
    <t>Name656</t>
  </si>
  <si>
    <t>Name657</t>
  </si>
  <si>
    <t>Name658</t>
  </si>
  <si>
    <t>Name659</t>
  </si>
  <si>
    <t>Name660</t>
  </si>
  <si>
    <t>Name661</t>
  </si>
  <si>
    <t>Name662</t>
  </si>
  <si>
    <t>Name663</t>
  </si>
  <si>
    <t>Name664</t>
  </si>
  <si>
    <t>Name665</t>
  </si>
  <si>
    <t>Name666</t>
  </si>
  <si>
    <t>Name667</t>
  </si>
  <si>
    <t>Name668</t>
  </si>
  <si>
    <t>Name669</t>
  </si>
  <si>
    <t>Name670</t>
  </si>
  <si>
    <t>Name671</t>
  </si>
  <si>
    <t>Name672</t>
  </si>
  <si>
    <t>Name673</t>
  </si>
  <si>
    <t>Name674</t>
  </si>
  <si>
    <t>Name675</t>
  </si>
  <si>
    <t>Name676</t>
  </si>
  <si>
    <t>Name677</t>
  </si>
  <si>
    <t>Name678</t>
  </si>
  <si>
    <t>Name679</t>
  </si>
  <si>
    <t>Name680</t>
  </si>
  <si>
    <t>Name681</t>
  </si>
  <si>
    <t>Name682</t>
  </si>
  <si>
    <t>Name683</t>
  </si>
  <si>
    <t>Name684</t>
  </si>
  <si>
    <t>Name685</t>
  </si>
  <si>
    <t>Name686</t>
  </si>
  <si>
    <t>Name687</t>
  </si>
  <si>
    <t>Name688</t>
  </si>
  <si>
    <t>Name689</t>
  </si>
  <si>
    <t>Name690</t>
  </si>
  <si>
    <t>Name691</t>
  </si>
  <si>
    <t>Name692</t>
  </si>
  <si>
    <t>Name693</t>
  </si>
  <si>
    <t>Name694</t>
  </si>
  <si>
    <t>Name695</t>
  </si>
  <si>
    <t>Name696</t>
  </si>
  <si>
    <t>Name697</t>
  </si>
  <si>
    <t>Name698</t>
  </si>
  <si>
    <t>Name699</t>
  </si>
  <si>
    <t>Name700</t>
  </si>
  <si>
    <t>Name701</t>
  </si>
  <si>
    <t>Name702</t>
  </si>
  <si>
    <t>Name703</t>
  </si>
  <si>
    <t>Name704</t>
  </si>
  <si>
    <t>Name705</t>
  </si>
  <si>
    <t>Name706</t>
  </si>
  <si>
    <t>Name707</t>
  </si>
  <si>
    <t>Name708</t>
  </si>
  <si>
    <t>Name709</t>
  </si>
  <si>
    <t>Name710</t>
  </si>
  <si>
    <t>Name711</t>
  </si>
  <si>
    <t>Name712</t>
  </si>
  <si>
    <t>Name713</t>
  </si>
  <si>
    <t>Name714</t>
  </si>
  <si>
    <t>Name715</t>
  </si>
  <si>
    <t>Name716</t>
  </si>
  <si>
    <t>Name717</t>
  </si>
  <si>
    <t>Name718</t>
  </si>
  <si>
    <t>Name719</t>
  </si>
  <si>
    <t>Name720</t>
  </si>
  <si>
    <t>Name721</t>
  </si>
  <si>
    <t>Name722</t>
  </si>
  <si>
    <t>Name723</t>
  </si>
  <si>
    <t>Name724</t>
  </si>
  <si>
    <t>Name725</t>
  </si>
  <si>
    <t>Name726</t>
  </si>
  <si>
    <t>Name727</t>
  </si>
  <si>
    <t>Name728</t>
  </si>
  <si>
    <t>Name729</t>
  </si>
  <si>
    <t>Name730</t>
  </si>
  <si>
    <t>Name731</t>
  </si>
  <si>
    <t>Name732</t>
  </si>
  <si>
    <t>Name733</t>
  </si>
  <si>
    <t>Name734</t>
  </si>
  <si>
    <t>Name735</t>
  </si>
  <si>
    <t>Name736</t>
  </si>
  <si>
    <t>Name737</t>
  </si>
  <si>
    <t>Name738</t>
  </si>
  <si>
    <t>Name739</t>
  </si>
  <si>
    <t>Name740</t>
  </si>
  <si>
    <t>Name741</t>
  </si>
  <si>
    <t>Name742</t>
  </si>
  <si>
    <t>Name743</t>
  </si>
  <si>
    <t>Name744</t>
  </si>
  <si>
    <t>Name745</t>
  </si>
  <si>
    <t>Name746</t>
  </si>
  <si>
    <t>Name747</t>
  </si>
  <si>
    <t>Name748</t>
  </si>
  <si>
    <t>Name749</t>
  </si>
  <si>
    <t>Name750</t>
  </si>
  <si>
    <t>Name751</t>
  </si>
  <si>
    <t>Name752</t>
  </si>
  <si>
    <t>Name753</t>
  </si>
  <si>
    <t>Name754</t>
  </si>
  <si>
    <t>Name755</t>
  </si>
  <si>
    <t>Name756</t>
  </si>
  <si>
    <t>Name757</t>
  </si>
  <si>
    <t>Name758</t>
  </si>
  <si>
    <t>Name759</t>
  </si>
  <si>
    <t>Name760</t>
  </si>
  <si>
    <t>Name761</t>
  </si>
  <si>
    <t>Name762</t>
  </si>
  <si>
    <t>Name763</t>
  </si>
  <si>
    <t>Name764</t>
  </si>
  <si>
    <t>Name765</t>
  </si>
  <si>
    <t>Name766</t>
  </si>
  <si>
    <t>Name767</t>
  </si>
  <si>
    <t>Name768</t>
  </si>
  <si>
    <t>Name769</t>
  </si>
  <si>
    <t>Name770</t>
  </si>
  <si>
    <t>Name771</t>
  </si>
  <si>
    <t>Name772</t>
  </si>
  <si>
    <t>Name773</t>
  </si>
  <si>
    <t>Name774</t>
  </si>
  <si>
    <t>Name775</t>
  </si>
  <si>
    <t>Name776</t>
  </si>
  <si>
    <t>Name777</t>
  </si>
  <si>
    <t>Name778</t>
  </si>
  <si>
    <t>Name779</t>
  </si>
  <si>
    <t>Name780</t>
  </si>
  <si>
    <t>Name781</t>
  </si>
  <si>
    <t>Name782</t>
  </si>
  <si>
    <t>Name783</t>
  </si>
  <si>
    <t>Name784</t>
  </si>
  <si>
    <t>Name785</t>
  </si>
  <si>
    <t>Name786</t>
  </si>
  <si>
    <t>Name787</t>
  </si>
  <si>
    <t>Name788</t>
  </si>
  <si>
    <t>Name789</t>
  </si>
  <si>
    <t>Name790</t>
  </si>
  <si>
    <t>Name791</t>
  </si>
  <si>
    <t>Name792</t>
  </si>
  <si>
    <t>Name793</t>
  </si>
  <si>
    <t>Name794</t>
  </si>
  <si>
    <t>Name795</t>
  </si>
  <si>
    <t>Name796</t>
  </si>
  <si>
    <t>Name797</t>
  </si>
  <si>
    <t>Name798</t>
  </si>
  <si>
    <t>Name799</t>
  </si>
  <si>
    <t>Name800</t>
  </si>
  <si>
    <t>Name801</t>
  </si>
  <si>
    <t>Name802</t>
  </si>
  <si>
    <t>Name803</t>
  </si>
  <si>
    <t>Name804</t>
  </si>
  <si>
    <t>Name805</t>
  </si>
  <si>
    <t>Name806</t>
  </si>
  <si>
    <t>Name807</t>
  </si>
  <si>
    <t>Name808</t>
  </si>
  <si>
    <t>Name809</t>
  </si>
  <si>
    <t>Name810</t>
  </si>
  <si>
    <t>Name811</t>
  </si>
  <si>
    <t>Name812</t>
  </si>
  <si>
    <t>Name813</t>
  </si>
  <si>
    <t>Name814</t>
  </si>
  <si>
    <t>Name815</t>
  </si>
  <si>
    <t>Name816</t>
  </si>
  <si>
    <t>Name817</t>
  </si>
  <si>
    <t>Name818</t>
  </si>
  <si>
    <t>Name819</t>
  </si>
  <si>
    <t>Name820</t>
  </si>
  <si>
    <t>Name821</t>
  </si>
  <si>
    <t>Name822</t>
  </si>
  <si>
    <t>Name823</t>
  </si>
  <si>
    <t>Name824</t>
  </si>
  <si>
    <t>Name825</t>
  </si>
  <si>
    <t>Name826</t>
  </si>
  <si>
    <t>Name827</t>
  </si>
  <si>
    <t>Name828</t>
  </si>
  <si>
    <t>Name829</t>
  </si>
  <si>
    <t>Name830</t>
  </si>
  <si>
    <t>Name831</t>
  </si>
  <si>
    <t>Name832</t>
  </si>
  <si>
    <t>Name833</t>
  </si>
  <si>
    <t>Name834</t>
  </si>
  <si>
    <t>Name835</t>
  </si>
  <si>
    <t>Name836</t>
  </si>
  <si>
    <t>Name837</t>
  </si>
  <si>
    <t>Name838</t>
  </si>
  <si>
    <t>Name839</t>
  </si>
  <si>
    <t>Name840</t>
  </si>
  <si>
    <t>Name841</t>
  </si>
  <si>
    <t>Name842</t>
  </si>
  <si>
    <t>Name843</t>
  </si>
  <si>
    <t>Name844</t>
  </si>
  <si>
    <t>Name845</t>
  </si>
  <si>
    <t>Name846</t>
  </si>
  <si>
    <t>Name847</t>
  </si>
  <si>
    <t>Name848</t>
  </si>
  <si>
    <t>Name849</t>
  </si>
  <si>
    <t>Name850</t>
  </si>
  <si>
    <t>Name851</t>
  </si>
  <si>
    <t>Name852</t>
  </si>
  <si>
    <t>Name853</t>
  </si>
  <si>
    <t>Name854</t>
  </si>
  <si>
    <t>Name855</t>
  </si>
  <si>
    <t>Name856</t>
  </si>
  <si>
    <t>Name857</t>
  </si>
  <si>
    <t>Name858</t>
  </si>
  <si>
    <t>Name859</t>
  </si>
  <si>
    <t>Name860</t>
  </si>
  <si>
    <t>Name861</t>
  </si>
  <si>
    <t>Name862</t>
  </si>
  <si>
    <t>Name863</t>
  </si>
  <si>
    <t>Name864</t>
  </si>
  <si>
    <t>Name865</t>
  </si>
  <si>
    <t>Name866</t>
  </si>
  <si>
    <t>Name867</t>
  </si>
  <si>
    <t>Name868</t>
  </si>
  <si>
    <t>Name869</t>
  </si>
  <si>
    <t>Name870</t>
  </si>
  <si>
    <t>Name871</t>
  </si>
  <si>
    <t>Name872</t>
  </si>
  <si>
    <t>Name873</t>
  </si>
  <si>
    <t>Name874</t>
  </si>
  <si>
    <t>Name875</t>
  </si>
  <si>
    <t>Name876</t>
  </si>
  <si>
    <t>Name877</t>
  </si>
  <si>
    <t>Name878</t>
  </si>
  <si>
    <t>Name879</t>
  </si>
  <si>
    <t>Name880</t>
  </si>
  <si>
    <t>Name881</t>
  </si>
  <si>
    <t>Name882</t>
  </si>
  <si>
    <t>Name883</t>
  </si>
  <si>
    <t>Name884</t>
  </si>
  <si>
    <t>Name885</t>
  </si>
  <si>
    <t>Name886</t>
  </si>
  <si>
    <t>Name887</t>
  </si>
  <si>
    <t>Name888</t>
  </si>
  <si>
    <t>Name889</t>
  </si>
  <si>
    <t>Name890</t>
  </si>
  <si>
    <t>Name891</t>
  </si>
  <si>
    <t>Name892</t>
  </si>
  <si>
    <t>Name893</t>
  </si>
  <si>
    <t>Name894</t>
  </si>
  <si>
    <t>Name895</t>
  </si>
  <si>
    <t>Name896</t>
  </si>
  <si>
    <t>Name897</t>
  </si>
  <si>
    <t>Name898</t>
  </si>
  <si>
    <t>Name899</t>
  </si>
  <si>
    <t>Name900</t>
  </si>
  <si>
    <t>Name901</t>
  </si>
  <si>
    <t>Name902</t>
  </si>
  <si>
    <t>Name903</t>
  </si>
  <si>
    <t>Name904</t>
  </si>
  <si>
    <t>Name905</t>
  </si>
  <si>
    <t>Name906</t>
  </si>
  <si>
    <t>Name907</t>
  </si>
  <si>
    <t>Name908</t>
  </si>
  <si>
    <t>Name909</t>
  </si>
  <si>
    <t>Name910</t>
  </si>
  <si>
    <t>Name911</t>
  </si>
  <si>
    <t>Name912</t>
  </si>
  <si>
    <t>Name913</t>
  </si>
  <si>
    <t>Name914</t>
  </si>
  <si>
    <t>Name915</t>
  </si>
  <si>
    <t>Name916</t>
  </si>
  <si>
    <t>Name917</t>
  </si>
  <si>
    <t>Name918</t>
  </si>
  <si>
    <t>Name919</t>
  </si>
  <si>
    <t>Name920</t>
  </si>
  <si>
    <t>Name921</t>
  </si>
  <si>
    <t>Name922</t>
  </si>
  <si>
    <t>Name923</t>
  </si>
  <si>
    <t>Name924</t>
  </si>
  <si>
    <t>Name925</t>
  </si>
  <si>
    <t>Name926</t>
  </si>
  <si>
    <t>Name927</t>
  </si>
  <si>
    <t>Name928</t>
  </si>
  <si>
    <t>Name929</t>
  </si>
  <si>
    <t>Name930</t>
  </si>
  <si>
    <t>Name931</t>
  </si>
  <si>
    <t>Name932</t>
  </si>
  <si>
    <t>Name933</t>
  </si>
  <si>
    <t>Name934</t>
  </si>
  <si>
    <t>Name935</t>
  </si>
  <si>
    <t>Name936</t>
  </si>
  <si>
    <t>Name937</t>
  </si>
  <si>
    <t>Name938</t>
  </si>
  <si>
    <t>Name939</t>
  </si>
  <si>
    <t>Name940</t>
  </si>
  <si>
    <t>Name941</t>
  </si>
  <si>
    <t>Name942</t>
  </si>
  <si>
    <t>Name943</t>
  </si>
  <si>
    <t>Name944</t>
  </si>
  <si>
    <t>Name945</t>
  </si>
  <si>
    <t>Name946</t>
  </si>
  <si>
    <t>Name947</t>
  </si>
  <si>
    <t>Name948</t>
  </si>
  <si>
    <t>Name949</t>
  </si>
  <si>
    <t>Name950</t>
  </si>
  <si>
    <t>Name951</t>
  </si>
  <si>
    <t>Name952</t>
  </si>
  <si>
    <t>Name953</t>
  </si>
  <si>
    <t>Name954</t>
  </si>
  <si>
    <t>Name955</t>
  </si>
  <si>
    <t>Name956</t>
  </si>
  <si>
    <t>Name957</t>
  </si>
  <si>
    <t>Name958</t>
  </si>
  <si>
    <t>Name959</t>
  </si>
  <si>
    <t>Name960</t>
  </si>
  <si>
    <t>Name961</t>
  </si>
  <si>
    <t>Name962</t>
  </si>
  <si>
    <t>Name963</t>
  </si>
  <si>
    <t>Name964</t>
  </si>
  <si>
    <t>Name965</t>
  </si>
  <si>
    <t>Name966</t>
  </si>
  <si>
    <t>Name967</t>
  </si>
  <si>
    <t>Name968</t>
  </si>
  <si>
    <t>Name969</t>
  </si>
  <si>
    <t>Name970</t>
  </si>
  <si>
    <t>Name971</t>
  </si>
  <si>
    <t>Name972</t>
  </si>
  <si>
    <t>Name973</t>
  </si>
  <si>
    <t>Name974</t>
  </si>
  <si>
    <t>Name975</t>
  </si>
  <si>
    <t>Name976</t>
  </si>
  <si>
    <t>Name977</t>
  </si>
  <si>
    <t>Name978</t>
  </si>
  <si>
    <t>Name979</t>
  </si>
  <si>
    <t>Name980</t>
  </si>
  <si>
    <t>Name981</t>
  </si>
  <si>
    <t>Name982</t>
  </si>
  <si>
    <t>Name983</t>
  </si>
  <si>
    <t>Name984</t>
  </si>
  <si>
    <t>Name985</t>
  </si>
  <si>
    <t>Name986</t>
  </si>
  <si>
    <t>Name987</t>
  </si>
  <si>
    <t>Name988</t>
  </si>
  <si>
    <t>Name989</t>
  </si>
  <si>
    <t>Name990</t>
  </si>
  <si>
    <t>Name991</t>
  </si>
  <si>
    <t>Name992</t>
  </si>
  <si>
    <t>Name993</t>
  </si>
  <si>
    <t>Name994</t>
  </si>
  <si>
    <t>Name995</t>
  </si>
  <si>
    <t>Name996</t>
  </si>
  <si>
    <t>Name997</t>
  </si>
  <si>
    <t>Name998</t>
  </si>
  <si>
    <t>Name999</t>
  </si>
  <si>
    <t>Surname0</t>
  </si>
  <si>
    <t>Surname1</t>
  </si>
  <si>
    <t>Surname2</t>
  </si>
  <si>
    <t>Surname3</t>
  </si>
  <si>
    <t>Surname4</t>
  </si>
  <si>
    <t>Surname5</t>
  </si>
  <si>
    <t>Surname6</t>
  </si>
  <si>
    <t>Surname7</t>
  </si>
  <si>
    <t>Surname8</t>
  </si>
  <si>
    <t>Surname9</t>
  </si>
  <si>
    <t>Surname10</t>
  </si>
  <si>
    <t>Surname11</t>
  </si>
  <si>
    <t>Surname12</t>
  </si>
  <si>
    <t>Surname13</t>
  </si>
  <si>
    <t>Surname14</t>
  </si>
  <si>
    <t>Surname15</t>
  </si>
  <si>
    <t>Surname16</t>
  </si>
  <si>
    <t>Surname17</t>
  </si>
  <si>
    <t>Surname18</t>
  </si>
  <si>
    <t>Surname19</t>
  </si>
  <si>
    <t>Surname20</t>
  </si>
  <si>
    <t>Surname21</t>
  </si>
  <si>
    <t>Surname22</t>
  </si>
  <si>
    <t>Surname23</t>
  </si>
  <si>
    <t>Surname24</t>
  </si>
  <si>
    <t>Surname25</t>
  </si>
  <si>
    <t>Surname26</t>
  </si>
  <si>
    <t>Surname27</t>
  </si>
  <si>
    <t>Surname28</t>
  </si>
  <si>
    <t>Surname29</t>
  </si>
  <si>
    <t>Surname30</t>
  </si>
  <si>
    <t>Surname31</t>
  </si>
  <si>
    <t>Surname32</t>
  </si>
  <si>
    <t>Surname33</t>
  </si>
  <si>
    <t>Surname34</t>
  </si>
  <si>
    <t>Surname35</t>
  </si>
  <si>
    <t>Surname36</t>
  </si>
  <si>
    <t>Surname37</t>
  </si>
  <si>
    <t>Surname38</t>
  </si>
  <si>
    <t>Surname39</t>
  </si>
  <si>
    <t>Surname40</t>
  </si>
  <si>
    <t>Surname41</t>
  </si>
  <si>
    <t>Surname42</t>
  </si>
  <si>
    <t>Surname43</t>
  </si>
  <si>
    <t>Surname44</t>
  </si>
  <si>
    <t>Surname45</t>
  </si>
  <si>
    <t>Surname46</t>
  </si>
  <si>
    <t>Surname47</t>
  </si>
  <si>
    <t>Surname48</t>
  </si>
  <si>
    <t>Surname49</t>
  </si>
  <si>
    <t>Surname50</t>
  </si>
  <si>
    <t>Surname51</t>
  </si>
  <si>
    <t>Surname52</t>
  </si>
  <si>
    <t>Surname53</t>
  </si>
  <si>
    <t>Surname54</t>
  </si>
  <si>
    <t>Surname55</t>
  </si>
  <si>
    <t>Surname56</t>
  </si>
  <si>
    <t>Surname57</t>
  </si>
  <si>
    <t>Surname58</t>
  </si>
  <si>
    <t>Surname59</t>
  </si>
  <si>
    <t>Surname60</t>
  </si>
  <si>
    <t>Surname61</t>
  </si>
  <si>
    <t>Surname62</t>
  </si>
  <si>
    <t>Surname63</t>
  </si>
  <si>
    <t>Surname64</t>
  </si>
  <si>
    <t>Surname65</t>
  </si>
  <si>
    <t>Surname66</t>
  </si>
  <si>
    <t>Surname67</t>
  </si>
  <si>
    <t>Surname68</t>
  </si>
  <si>
    <t>Surname69</t>
  </si>
  <si>
    <t>Surname70</t>
  </si>
  <si>
    <t>Surname71</t>
  </si>
  <si>
    <t>Surname72</t>
  </si>
  <si>
    <t>Surname73</t>
  </si>
  <si>
    <t>Surname74</t>
  </si>
  <si>
    <t>Surname75</t>
  </si>
  <si>
    <t>Surname76</t>
  </si>
  <si>
    <t>Surname77</t>
  </si>
  <si>
    <t>Surname78</t>
  </si>
  <si>
    <t>Surname79</t>
  </si>
  <si>
    <t>Surname80</t>
  </si>
  <si>
    <t>Surname81</t>
  </si>
  <si>
    <t>Surname82</t>
  </si>
  <si>
    <t>Surname83</t>
  </si>
  <si>
    <t>Surname84</t>
  </si>
  <si>
    <t>Surname85</t>
  </si>
  <si>
    <t>Surname86</t>
  </si>
  <si>
    <t>Surname87</t>
  </si>
  <si>
    <t>Surname88</t>
  </si>
  <si>
    <t>Surname89</t>
  </si>
  <si>
    <t>Surname90</t>
  </si>
  <si>
    <t>Surname91</t>
  </si>
  <si>
    <t>Surname92</t>
  </si>
  <si>
    <t>Surname93</t>
  </si>
  <si>
    <t>Surname94</t>
  </si>
  <si>
    <t>Surname95</t>
  </si>
  <si>
    <t>Surname96</t>
  </si>
  <si>
    <t>Surname97</t>
  </si>
  <si>
    <t>Surname98</t>
  </si>
  <si>
    <t>Surname99</t>
  </si>
  <si>
    <t>Surname100</t>
  </si>
  <si>
    <t>Surname101</t>
  </si>
  <si>
    <t>Surname102</t>
  </si>
  <si>
    <t>Surname103</t>
  </si>
  <si>
    <t>Surname104</t>
  </si>
  <si>
    <t>Surname105</t>
  </si>
  <si>
    <t>Surname106</t>
  </si>
  <si>
    <t>Surname107</t>
  </si>
  <si>
    <t>Surname108</t>
  </si>
  <si>
    <t>Surname109</t>
  </si>
  <si>
    <t>Surname110</t>
  </si>
  <si>
    <t>Surname111</t>
  </si>
  <si>
    <t>Surname112</t>
  </si>
  <si>
    <t>Surname113</t>
  </si>
  <si>
    <t>Surname114</t>
  </si>
  <si>
    <t>Surname115</t>
  </si>
  <si>
    <t>Surname116</t>
  </si>
  <si>
    <t>Surname117</t>
  </si>
  <si>
    <t>Surname118</t>
  </si>
  <si>
    <t>Surname119</t>
  </si>
  <si>
    <t>Surname120</t>
  </si>
  <si>
    <t>Surname121</t>
  </si>
  <si>
    <t>Surname122</t>
  </si>
  <si>
    <t>Surname123</t>
  </si>
  <si>
    <t>Surname124</t>
  </si>
  <si>
    <t>Surname125</t>
  </si>
  <si>
    <t>Surname126</t>
  </si>
  <si>
    <t>Surname127</t>
  </si>
  <si>
    <t>Surname128</t>
  </si>
  <si>
    <t>Surname129</t>
  </si>
  <si>
    <t>Surname130</t>
  </si>
  <si>
    <t>Surname131</t>
  </si>
  <si>
    <t>Surname132</t>
  </si>
  <si>
    <t>Surname133</t>
  </si>
  <si>
    <t>Surname134</t>
  </si>
  <si>
    <t>Surname135</t>
  </si>
  <si>
    <t>Surname136</t>
  </si>
  <si>
    <t>Surname137</t>
  </si>
  <si>
    <t>Surname138</t>
  </si>
  <si>
    <t>Surname139</t>
  </si>
  <si>
    <t>Surname140</t>
  </si>
  <si>
    <t>Surname141</t>
  </si>
  <si>
    <t>Surname142</t>
  </si>
  <si>
    <t>Surname143</t>
  </si>
  <si>
    <t>Surname144</t>
  </si>
  <si>
    <t>Surname145</t>
  </si>
  <si>
    <t>Surname146</t>
  </si>
  <si>
    <t>Surname147</t>
  </si>
  <si>
    <t>Surname148</t>
  </si>
  <si>
    <t>Surname149</t>
  </si>
  <si>
    <t>Surname150</t>
  </si>
  <si>
    <t>Surname151</t>
  </si>
  <si>
    <t>Surname152</t>
  </si>
  <si>
    <t>Surname153</t>
  </si>
  <si>
    <t>Surname154</t>
  </si>
  <si>
    <t>Surname155</t>
  </si>
  <si>
    <t>Surname156</t>
  </si>
  <si>
    <t>Surname157</t>
  </si>
  <si>
    <t>Surname158</t>
  </si>
  <si>
    <t>Surname159</t>
  </si>
  <si>
    <t>Surname160</t>
  </si>
  <si>
    <t>Surname161</t>
  </si>
  <si>
    <t>Surname162</t>
  </si>
  <si>
    <t>Surname163</t>
  </si>
  <si>
    <t>Surname164</t>
  </si>
  <si>
    <t>Surname165</t>
  </si>
  <si>
    <t>Surname166</t>
  </si>
  <si>
    <t>Surname167</t>
  </si>
  <si>
    <t>Surname168</t>
  </si>
  <si>
    <t>Surname169</t>
  </si>
  <si>
    <t>Surname170</t>
  </si>
  <si>
    <t>Surname171</t>
  </si>
  <si>
    <t>Surname172</t>
  </si>
  <si>
    <t>Surname173</t>
  </si>
  <si>
    <t>Surname174</t>
  </si>
  <si>
    <t>Surname175</t>
  </si>
  <si>
    <t>Surname176</t>
  </si>
  <si>
    <t>Surname177</t>
  </si>
  <si>
    <t>Surname178</t>
  </si>
  <si>
    <t>Surname179</t>
  </si>
  <si>
    <t>Surname180</t>
  </si>
  <si>
    <t>Surname181</t>
  </si>
  <si>
    <t>Surname182</t>
  </si>
  <si>
    <t>Surname183</t>
  </si>
  <si>
    <t>Surname184</t>
  </si>
  <si>
    <t>Surname185</t>
  </si>
  <si>
    <t>Surname186</t>
  </si>
  <si>
    <t>Surname187</t>
  </si>
  <si>
    <t>Surname188</t>
  </si>
  <si>
    <t>Surname189</t>
  </si>
  <si>
    <t>Surname190</t>
  </si>
  <si>
    <t>Surname191</t>
  </si>
  <si>
    <t>Surname192</t>
  </si>
  <si>
    <t>Surname193</t>
  </si>
  <si>
    <t>Surname194</t>
  </si>
  <si>
    <t>Surname195</t>
  </si>
  <si>
    <t>Surname196</t>
  </si>
  <si>
    <t>Surname197</t>
  </si>
  <si>
    <t>Surname198</t>
  </si>
  <si>
    <t>Surname199</t>
  </si>
  <si>
    <t>Surname200</t>
  </si>
  <si>
    <t>Surname201</t>
  </si>
  <si>
    <t>Surname202</t>
  </si>
  <si>
    <t>Surname203</t>
  </si>
  <si>
    <t>Surname204</t>
  </si>
  <si>
    <t>Surname205</t>
  </si>
  <si>
    <t>Surname206</t>
  </si>
  <si>
    <t>Surname207</t>
  </si>
  <si>
    <t>Surname208</t>
  </si>
  <si>
    <t>Surname209</t>
  </si>
  <si>
    <t>Surname210</t>
  </si>
  <si>
    <t>Surname211</t>
  </si>
  <si>
    <t>Surname212</t>
  </si>
  <si>
    <t>Surname213</t>
  </si>
  <si>
    <t>Surname214</t>
  </si>
  <si>
    <t>Surname215</t>
  </si>
  <si>
    <t>Surname216</t>
  </si>
  <si>
    <t>Surname217</t>
  </si>
  <si>
    <t>Surname218</t>
  </si>
  <si>
    <t>Surname219</t>
  </si>
  <si>
    <t>Surname220</t>
  </si>
  <si>
    <t>Surname221</t>
  </si>
  <si>
    <t>Surname222</t>
  </si>
  <si>
    <t>Surname223</t>
  </si>
  <si>
    <t>Surname224</t>
  </si>
  <si>
    <t>Surname225</t>
  </si>
  <si>
    <t>Surname226</t>
  </si>
  <si>
    <t>Surname227</t>
  </si>
  <si>
    <t>Surname228</t>
  </si>
  <si>
    <t>Surname229</t>
  </si>
  <si>
    <t>Surname230</t>
  </si>
  <si>
    <t>Surname231</t>
  </si>
  <si>
    <t>Surname232</t>
  </si>
  <si>
    <t>Surname233</t>
  </si>
  <si>
    <t>Surname234</t>
  </si>
  <si>
    <t>Surname235</t>
  </si>
  <si>
    <t>Surname236</t>
  </si>
  <si>
    <t>Surname237</t>
  </si>
  <si>
    <t>Surname238</t>
  </si>
  <si>
    <t>Surname239</t>
  </si>
  <si>
    <t>Surname240</t>
  </si>
  <si>
    <t>Surname241</t>
  </si>
  <si>
    <t>Surname242</t>
  </si>
  <si>
    <t>Surname243</t>
  </si>
  <si>
    <t>Surname244</t>
  </si>
  <si>
    <t>Surname245</t>
  </si>
  <si>
    <t>Surname246</t>
  </si>
  <si>
    <t>Surname247</t>
  </si>
  <si>
    <t>Surname248</t>
  </si>
  <si>
    <t>Surname249</t>
  </si>
  <si>
    <t>Surname250</t>
  </si>
  <si>
    <t>Surname251</t>
  </si>
  <si>
    <t>Surname252</t>
  </si>
  <si>
    <t>Surname253</t>
  </si>
  <si>
    <t>Surname254</t>
  </si>
  <si>
    <t>Surname255</t>
  </si>
  <si>
    <t>Surname256</t>
  </si>
  <si>
    <t>Surname257</t>
  </si>
  <si>
    <t>Surname258</t>
  </si>
  <si>
    <t>Surname259</t>
  </si>
  <si>
    <t>Surname260</t>
  </si>
  <si>
    <t>Surname261</t>
  </si>
  <si>
    <t>Surname262</t>
  </si>
  <si>
    <t>Surname263</t>
  </si>
  <si>
    <t>Surname264</t>
  </si>
  <si>
    <t>Surname265</t>
  </si>
  <si>
    <t>Surname266</t>
  </si>
  <si>
    <t>Surname267</t>
  </si>
  <si>
    <t>Surname268</t>
  </si>
  <si>
    <t>Surname269</t>
  </si>
  <si>
    <t>Surname270</t>
  </si>
  <si>
    <t>Surname271</t>
  </si>
  <si>
    <t>Surname272</t>
  </si>
  <si>
    <t>Surname273</t>
  </si>
  <si>
    <t>Surname274</t>
  </si>
  <si>
    <t>Surname275</t>
  </si>
  <si>
    <t>Surname276</t>
  </si>
  <si>
    <t>Surname277</t>
  </si>
  <si>
    <t>Surname278</t>
  </si>
  <si>
    <t>Surname279</t>
  </si>
  <si>
    <t>Surname280</t>
  </si>
  <si>
    <t>Surname281</t>
  </si>
  <si>
    <t>Surname282</t>
  </si>
  <si>
    <t>Surname283</t>
  </si>
  <si>
    <t>Surname284</t>
  </si>
  <si>
    <t>Surname285</t>
  </si>
  <si>
    <t>Surname286</t>
  </si>
  <si>
    <t>Surname287</t>
  </si>
  <si>
    <t>Surname288</t>
  </si>
  <si>
    <t>Surname289</t>
  </si>
  <si>
    <t>Surname290</t>
  </si>
  <si>
    <t>Surname291</t>
  </si>
  <si>
    <t>Surname292</t>
  </si>
  <si>
    <t>Surname293</t>
  </si>
  <si>
    <t>Surname294</t>
  </si>
  <si>
    <t>Surname295</t>
  </si>
  <si>
    <t>Surname296</t>
  </si>
  <si>
    <t>Surname297</t>
  </si>
  <si>
    <t>Surname298</t>
  </si>
  <si>
    <t>Surname299</t>
  </si>
  <si>
    <t>Surname300</t>
  </si>
  <si>
    <t>Surname301</t>
  </si>
  <si>
    <t>Surname302</t>
  </si>
  <si>
    <t>Surname303</t>
  </si>
  <si>
    <t>Surname304</t>
  </si>
  <si>
    <t>Surname305</t>
  </si>
  <si>
    <t>Surname306</t>
  </si>
  <si>
    <t>Surname307</t>
  </si>
  <si>
    <t>Surname308</t>
  </si>
  <si>
    <t>Surname309</t>
  </si>
  <si>
    <t>Surname310</t>
  </si>
  <si>
    <t>Surname311</t>
  </si>
  <si>
    <t>Surname312</t>
  </si>
  <si>
    <t>Surname313</t>
  </si>
  <si>
    <t>Surname314</t>
  </si>
  <si>
    <t>Surname315</t>
  </si>
  <si>
    <t>Surname316</t>
  </si>
  <si>
    <t>Surname317</t>
  </si>
  <si>
    <t>Surname318</t>
  </si>
  <si>
    <t>Surname319</t>
  </si>
  <si>
    <t>Surname320</t>
  </si>
  <si>
    <t>Surname321</t>
  </si>
  <si>
    <t>Surname322</t>
  </si>
  <si>
    <t>Surname323</t>
  </si>
  <si>
    <t>Surname324</t>
  </si>
  <si>
    <t>Surname325</t>
  </si>
  <si>
    <t>Surname326</t>
  </si>
  <si>
    <t>Surname327</t>
  </si>
  <si>
    <t>Surname328</t>
  </si>
  <si>
    <t>Surname329</t>
  </si>
  <si>
    <t>Surname330</t>
  </si>
  <si>
    <t>Surname331</t>
  </si>
  <si>
    <t>Surname332</t>
  </si>
  <si>
    <t>Surname333</t>
  </si>
  <si>
    <t>Surname334</t>
  </si>
  <si>
    <t>Surname335</t>
  </si>
  <si>
    <t>Surname336</t>
  </si>
  <si>
    <t>Surname337</t>
  </si>
  <si>
    <t>Surname338</t>
  </si>
  <si>
    <t>Surname339</t>
  </si>
  <si>
    <t>Surname340</t>
  </si>
  <si>
    <t>Surname341</t>
  </si>
  <si>
    <t>Surname342</t>
  </si>
  <si>
    <t>Surname343</t>
  </si>
  <si>
    <t>Surname344</t>
  </si>
  <si>
    <t>Surname345</t>
  </si>
  <si>
    <t>Surname346</t>
  </si>
  <si>
    <t>Surname347</t>
  </si>
  <si>
    <t>Surname348</t>
  </si>
  <si>
    <t>Surname349</t>
  </si>
  <si>
    <t>Surname350</t>
  </si>
  <si>
    <t>Surname351</t>
  </si>
  <si>
    <t>Surname352</t>
  </si>
  <si>
    <t>Surname353</t>
  </si>
  <si>
    <t>Surname354</t>
  </si>
  <si>
    <t>Surname355</t>
  </si>
  <si>
    <t>Surname356</t>
  </si>
  <si>
    <t>Surname357</t>
  </si>
  <si>
    <t>Surname358</t>
  </si>
  <si>
    <t>Surname359</t>
  </si>
  <si>
    <t>Surname360</t>
  </si>
  <si>
    <t>Surname361</t>
  </si>
  <si>
    <t>Surname362</t>
  </si>
  <si>
    <t>Surname363</t>
  </si>
  <si>
    <t>Surname364</t>
  </si>
  <si>
    <t>Surname365</t>
  </si>
  <si>
    <t>Surname366</t>
  </si>
  <si>
    <t>Surname367</t>
  </si>
  <si>
    <t>Surname368</t>
  </si>
  <si>
    <t>Surname369</t>
  </si>
  <si>
    <t>Surname370</t>
  </si>
  <si>
    <t>Surname371</t>
  </si>
  <si>
    <t>Surname372</t>
  </si>
  <si>
    <t>Surname373</t>
  </si>
  <si>
    <t>Surname374</t>
  </si>
  <si>
    <t>Surname375</t>
  </si>
  <si>
    <t>Surname376</t>
  </si>
  <si>
    <t>Surname377</t>
  </si>
  <si>
    <t>Surname378</t>
  </si>
  <si>
    <t>Surname379</t>
  </si>
  <si>
    <t>Surname380</t>
  </si>
  <si>
    <t>Surname381</t>
  </si>
  <si>
    <t>Surname382</t>
  </si>
  <si>
    <t>Surname383</t>
  </si>
  <si>
    <t>Surname384</t>
  </si>
  <si>
    <t>Surname385</t>
  </si>
  <si>
    <t>Surname386</t>
  </si>
  <si>
    <t>Surname387</t>
  </si>
  <si>
    <t>Surname388</t>
  </si>
  <si>
    <t>Surname389</t>
  </si>
  <si>
    <t>Surname390</t>
  </si>
  <si>
    <t>Surname391</t>
  </si>
  <si>
    <t>Surname392</t>
  </si>
  <si>
    <t>Surname393</t>
  </si>
  <si>
    <t>Surname394</t>
  </si>
  <si>
    <t>Surname395</t>
  </si>
  <si>
    <t>Surname396</t>
  </si>
  <si>
    <t>Surname397</t>
  </si>
  <si>
    <t>Surname398</t>
  </si>
  <si>
    <t>Surname399</t>
  </si>
  <si>
    <t>Surname400</t>
  </si>
  <si>
    <t>Surname401</t>
  </si>
  <si>
    <t>Surname402</t>
  </si>
  <si>
    <t>Surname403</t>
  </si>
  <si>
    <t>Surname404</t>
  </si>
  <si>
    <t>Surname405</t>
  </si>
  <si>
    <t>Surname406</t>
  </si>
  <si>
    <t>Surname407</t>
  </si>
  <si>
    <t>Surname408</t>
  </si>
  <si>
    <t>Surname409</t>
  </si>
  <si>
    <t>Surname410</t>
  </si>
  <si>
    <t>Surname411</t>
  </si>
  <si>
    <t>Surname412</t>
  </si>
  <si>
    <t>Surname413</t>
  </si>
  <si>
    <t>Surname414</t>
  </si>
  <si>
    <t>Surname415</t>
  </si>
  <si>
    <t>Surname416</t>
  </si>
  <si>
    <t>Surname417</t>
  </si>
  <si>
    <t>Surname418</t>
  </si>
  <si>
    <t>Surname419</t>
  </si>
  <si>
    <t>Surname420</t>
  </si>
  <si>
    <t>Surname421</t>
  </si>
  <si>
    <t>Surname422</t>
  </si>
  <si>
    <t>Surname423</t>
  </si>
  <si>
    <t>Surname424</t>
  </si>
  <si>
    <t>Surname425</t>
  </si>
  <si>
    <t>Surname426</t>
  </si>
  <si>
    <t>Surname427</t>
  </si>
  <si>
    <t>Surname428</t>
  </si>
  <si>
    <t>Surname429</t>
  </si>
  <si>
    <t>Surname430</t>
  </si>
  <si>
    <t>Surname431</t>
  </si>
  <si>
    <t>Surname432</t>
  </si>
  <si>
    <t>Surname433</t>
  </si>
  <si>
    <t>Surname434</t>
  </si>
  <si>
    <t>Surname435</t>
  </si>
  <si>
    <t>Surname436</t>
  </si>
  <si>
    <t>Surname437</t>
  </si>
  <si>
    <t>Surname438</t>
  </si>
  <si>
    <t>Surname439</t>
  </si>
  <si>
    <t>Surname440</t>
  </si>
  <si>
    <t>Surname441</t>
  </si>
  <si>
    <t>Surname442</t>
  </si>
  <si>
    <t>Surname443</t>
  </si>
  <si>
    <t>Surname444</t>
  </si>
  <si>
    <t>Surname445</t>
  </si>
  <si>
    <t>Surname446</t>
  </si>
  <si>
    <t>Surname447</t>
  </si>
  <si>
    <t>Surname448</t>
  </si>
  <si>
    <t>Surname449</t>
  </si>
  <si>
    <t>Surname450</t>
  </si>
  <si>
    <t>Surname451</t>
  </si>
  <si>
    <t>Surname452</t>
  </si>
  <si>
    <t>Surname453</t>
  </si>
  <si>
    <t>Surname454</t>
  </si>
  <si>
    <t>Surname455</t>
  </si>
  <si>
    <t>Surname456</t>
  </si>
  <si>
    <t>Surname457</t>
  </si>
  <si>
    <t>Surname458</t>
  </si>
  <si>
    <t>Surname459</t>
  </si>
  <si>
    <t>Surname460</t>
  </si>
  <si>
    <t>Surname461</t>
  </si>
  <si>
    <t>Surname462</t>
  </si>
  <si>
    <t>Surname463</t>
  </si>
  <si>
    <t>Surname464</t>
  </si>
  <si>
    <t>Surname465</t>
  </si>
  <si>
    <t>Surname466</t>
  </si>
  <si>
    <t>Surname467</t>
  </si>
  <si>
    <t>Surname468</t>
  </si>
  <si>
    <t>Surname469</t>
  </si>
  <si>
    <t>Surname470</t>
  </si>
  <si>
    <t>Surname471</t>
  </si>
  <si>
    <t>Surname472</t>
  </si>
  <si>
    <t>Surname473</t>
  </si>
  <si>
    <t>Surname474</t>
  </si>
  <si>
    <t>Surname475</t>
  </si>
  <si>
    <t>Surname476</t>
  </si>
  <si>
    <t>Surname477</t>
  </si>
  <si>
    <t>Surname478</t>
  </si>
  <si>
    <t>Surname479</t>
  </si>
  <si>
    <t>Surname480</t>
  </si>
  <si>
    <t>Surname481</t>
  </si>
  <si>
    <t>Surname482</t>
  </si>
  <si>
    <t>Surname483</t>
  </si>
  <si>
    <t>Surname484</t>
  </si>
  <si>
    <t>Surname485</t>
  </si>
  <si>
    <t>Surname486</t>
  </si>
  <si>
    <t>Surname487</t>
  </si>
  <si>
    <t>Surname488</t>
  </si>
  <si>
    <t>Surname489</t>
  </si>
  <si>
    <t>Surname490</t>
  </si>
  <si>
    <t>Surname491</t>
  </si>
  <si>
    <t>Surname492</t>
  </si>
  <si>
    <t>Surname493</t>
  </si>
  <si>
    <t>Surname494</t>
  </si>
  <si>
    <t>Surname495</t>
  </si>
  <si>
    <t>Surname496</t>
  </si>
  <si>
    <t>Surname497</t>
  </si>
  <si>
    <t>Surname498</t>
  </si>
  <si>
    <t>Surname499</t>
  </si>
  <si>
    <t>Surname500</t>
  </si>
  <si>
    <t>Surname501</t>
  </si>
  <si>
    <t>Surname502</t>
  </si>
  <si>
    <t>Surname503</t>
  </si>
  <si>
    <t>Surname504</t>
  </si>
  <si>
    <t>Surname505</t>
  </si>
  <si>
    <t>Surname506</t>
  </si>
  <si>
    <t>Surname507</t>
  </si>
  <si>
    <t>Surname508</t>
  </si>
  <si>
    <t>Surname509</t>
  </si>
  <si>
    <t>Surname510</t>
  </si>
  <si>
    <t>Surname511</t>
  </si>
  <si>
    <t>Surname512</t>
  </si>
  <si>
    <t>Surname513</t>
  </si>
  <si>
    <t>Surname514</t>
  </si>
  <si>
    <t>Surname515</t>
  </si>
  <si>
    <t>Surname516</t>
  </si>
  <si>
    <t>Surname517</t>
  </si>
  <si>
    <t>Surname518</t>
  </si>
  <si>
    <t>Surname519</t>
  </si>
  <si>
    <t>Surname520</t>
  </si>
  <si>
    <t>Surname521</t>
  </si>
  <si>
    <t>Surname522</t>
  </si>
  <si>
    <t>Surname523</t>
  </si>
  <si>
    <t>Surname524</t>
  </si>
  <si>
    <t>Surname525</t>
  </si>
  <si>
    <t>Surname526</t>
  </si>
  <si>
    <t>Surname527</t>
  </si>
  <si>
    <t>Surname528</t>
  </si>
  <si>
    <t>Surname529</t>
  </si>
  <si>
    <t>Surname530</t>
  </si>
  <si>
    <t>Surname531</t>
  </si>
  <si>
    <t>Surname532</t>
  </si>
  <si>
    <t>Surname533</t>
  </si>
  <si>
    <t>Surname534</t>
  </si>
  <si>
    <t>Surname535</t>
  </si>
  <si>
    <t>Surname536</t>
  </si>
  <si>
    <t>Surname537</t>
  </si>
  <si>
    <t>Surname538</t>
  </si>
  <si>
    <t>Surname539</t>
  </si>
  <si>
    <t>Surname540</t>
  </si>
  <si>
    <t>Surname541</t>
  </si>
  <si>
    <t>Surname542</t>
  </si>
  <si>
    <t>Surname543</t>
  </si>
  <si>
    <t>Surname544</t>
  </si>
  <si>
    <t>Surname545</t>
  </si>
  <si>
    <t>Surname546</t>
  </si>
  <si>
    <t>Surname547</t>
  </si>
  <si>
    <t>Surname548</t>
  </si>
  <si>
    <t>Surname549</t>
  </si>
  <si>
    <t>Surname550</t>
  </si>
  <si>
    <t>Surname551</t>
  </si>
  <si>
    <t>Surname552</t>
  </si>
  <si>
    <t>Surname553</t>
  </si>
  <si>
    <t>Surname554</t>
  </si>
  <si>
    <t>Surname555</t>
  </si>
  <si>
    <t>Surname556</t>
  </si>
  <si>
    <t>Surname557</t>
  </si>
  <si>
    <t>Surname558</t>
  </si>
  <si>
    <t>Surname559</t>
  </si>
  <si>
    <t>Surname560</t>
  </si>
  <si>
    <t>Surname561</t>
  </si>
  <si>
    <t>Surname562</t>
  </si>
  <si>
    <t>Surname563</t>
  </si>
  <si>
    <t>Surname564</t>
  </si>
  <si>
    <t>Surname565</t>
  </si>
  <si>
    <t>Surname566</t>
  </si>
  <si>
    <t>Surname567</t>
  </si>
  <si>
    <t>Surname568</t>
  </si>
  <si>
    <t>Surname569</t>
  </si>
  <si>
    <t>Surname570</t>
  </si>
  <si>
    <t>Surname571</t>
  </si>
  <si>
    <t>Surname572</t>
  </si>
  <si>
    <t>Surname573</t>
  </si>
  <si>
    <t>Surname574</t>
  </si>
  <si>
    <t>Surname575</t>
  </si>
  <si>
    <t>Surname576</t>
  </si>
  <si>
    <t>Surname577</t>
  </si>
  <si>
    <t>Surname578</t>
  </si>
  <si>
    <t>Surname579</t>
  </si>
  <si>
    <t>Surname580</t>
  </si>
  <si>
    <t>Surname581</t>
  </si>
  <si>
    <t>Surname582</t>
  </si>
  <si>
    <t>Surname583</t>
  </si>
  <si>
    <t>Surname584</t>
  </si>
  <si>
    <t>Surname585</t>
  </si>
  <si>
    <t>Surname586</t>
  </si>
  <si>
    <t>Surname587</t>
  </si>
  <si>
    <t>Surname588</t>
  </si>
  <si>
    <t>Surname589</t>
  </si>
  <si>
    <t>Surname590</t>
  </si>
  <si>
    <t>Surname591</t>
  </si>
  <si>
    <t>Surname592</t>
  </si>
  <si>
    <t>Surname593</t>
  </si>
  <si>
    <t>Surname594</t>
  </si>
  <si>
    <t>Surname595</t>
  </si>
  <si>
    <t>Surname596</t>
  </si>
  <si>
    <t>Surname597</t>
  </si>
  <si>
    <t>Surname598</t>
  </si>
  <si>
    <t>Surname599</t>
  </si>
  <si>
    <t>Surname600</t>
  </si>
  <si>
    <t>Surname601</t>
  </si>
  <si>
    <t>Surname602</t>
  </si>
  <si>
    <t>Surname603</t>
  </si>
  <si>
    <t>Surname604</t>
  </si>
  <si>
    <t>Surname605</t>
  </si>
  <si>
    <t>Surname606</t>
  </si>
  <si>
    <t>Surname607</t>
  </si>
  <si>
    <t>Surname608</t>
  </si>
  <si>
    <t>Surname609</t>
  </si>
  <si>
    <t>Surname610</t>
  </si>
  <si>
    <t>Surname611</t>
  </si>
  <si>
    <t>Surname612</t>
  </si>
  <si>
    <t>Surname613</t>
  </si>
  <si>
    <t>Surname614</t>
  </si>
  <si>
    <t>Surname615</t>
  </si>
  <si>
    <t>Surname616</t>
  </si>
  <si>
    <t>Surname617</t>
  </si>
  <si>
    <t>Surname618</t>
  </si>
  <si>
    <t>Surname619</t>
  </si>
  <si>
    <t>Surname620</t>
  </si>
  <si>
    <t>Surname621</t>
  </si>
  <si>
    <t>Surname622</t>
  </si>
  <si>
    <t>Surname623</t>
  </si>
  <si>
    <t>Surname624</t>
  </si>
  <si>
    <t>Surname625</t>
  </si>
  <si>
    <t>Surname626</t>
  </si>
  <si>
    <t>Surname627</t>
  </si>
  <si>
    <t>Surname628</t>
  </si>
  <si>
    <t>Surname629</t>
  </si>
  <si>
    <t>Surname630</t>
  </si>
  <si>
    <t>Surname631</t>
  </si>
  <si>
    <t>Surname632</t>
  </si>
  <si>
    <t>Surname633</t>
  </si>
  <si>
    <t>Surname634</t>
  </si>
  <si>
    <t>Surname635</t>
  </si>
  <si>
    <t>Surname636</t>
  </si>
  <si>
    <t>Surname637</t>
  </si>
  <si>
    <t>Surname638</t>
  </si>
  <si>
    <t>Surname639</t>
  </si>
  <si>
    <t>Surname640</t>
  </si>
  <si>
    <t>Surname641</t>
  </si>
  <si>
    <t>Surname642</t>
  </si>
  <si>
    <t>Surname643</t>
  </si>
  <si>
    <t>Surname644</t>
  </si>
  <si>
    <t>Surname645</t>
  </si>
  <si>
    <t>Surname646</t>
  </si>
  <si>
    <t>Surname647</t>
  </si>
  <si>
    <t>Surname648</t>
  </si>
  <si>
    <t>Surname649</t>
  </si>
  <si>
    <t>Surname650</t>
  </si>
  <si>
    <t>Surname651</t>
  </si>
  <si>
    <t>Surname652</t>
  </si>
  <si>
    <t>Surname653</t>
  </si>
  <si>
    <t>Surname654</t>
  </si>
  <si>
    <t>Surname655</t>
  </si>
  <si>
    <t>Surname656</t>
  </si>
  <si>
    <t>Surname657</t>
  </si>
  <si>
    <t>Surname658</t>
  </si>
  <si>
    <t>Surname659</t>
  </si>
  <si>
    <t>Surname660</t>
  </si>
  <si>
    <t>Surname661</t>
  </si>
  <si>
    <t>Surname662</t>
  </si>
  <si>
    <t>Surname663</t>
  </si>
  <si>
    <t>Surname664</t>
  </si>
  <si>
    <t>Surname665</t>
  </si>
  <si>
    <t>Surname666</t>
  </si>
  <si>
    <t>Surname667</t>
  </si>
  <si>
    <t>Surname668</t>
  </si>
  <si>
    <t>Surname669</t>
  </si>
  <si>
    <t>Surname670</t>
  </si>
  <si>
    <t>Surname671</t>
  </si>
  <si>
    <t>Surname672</t>
  </si>
  <si>
    <t>Surname673</t>
  </si>
  <si>
    <t>Surname674</t>
  </si>
  <si>
    <t>Surname675</t>
  </si>
  <si>
    <t>Surname676</t>
  </si>
  <si>
    <t>Surname677</t>
  </si>
  <si>
    <t>Surname678</t>
  </si>
  <si>
    <t>Surname679</t>
  </si>
  <si>
    <t>Surname680</t>
  </si>
  <si>
    <t>Surname681</t>
  </si>
  <si>
    <t>Surname682</t>
  </si>
  <si>
    <t>Surname683</t>
  </si>
  <si>
    <t>Surname684</t>
  </si>
  <si>
    <t>Surname685</t>
  </si>
  <si>
    <t>Surname686</t>
  </si>
  <si>
    <t>Surname687</t>
  </si>
  <si>
    <t>Surname688</t>
  </si>
  <si>
    <t>Surname689</t>
  </si>
  <si>
    <t>Surname690</t>
  </si>
  <si>
    <t>Surname691</t>
  </si>
  <si>
    <t>Surname692</t>
  </si>
  <si>
    <t>Surname693</t>
  </si>
  <si>
    <t>Surname694</t>
  </si>
  <si>
    <t>Surname695</t>
  </si>
  <si>
    <t>Surname696</t>
  </si>
  <si>
    <t>Surname697</t>
  </si>
  <si>
    <t>Surname698</t>
  </si>
  <si>
    <t>Surname699</t>
  </si>
  <si>
    <t>Surname700</t>
  </si>
  <si>
    <t>Surname701</t>
  </si>
  <si>
    <t>Surname702</t>
  </si>
  <si>
    <t>Surname703</t>
  </si>
  <si>
    <t>Surname704</t>
  </si>
  <si>
    <t>Surname705</t>
  </si>
  <si>
    <t>Surname706</t>
  </si>
  <si>
    <t>Surname707</t>
  </si>
  <si>
    <t>Surname708</t>
  </si>
  <si>
    <t>Surname709</t>
  </si>
  <si>
    <t>Surname710</t>
  </si>
  <si>
    <t>Surname711</t>
  </si>
  <si>
    <t>Surname712</t>
  </si>
  <si>
    <t>Surname713</t>
  </si>
  <si>
    <t>Surname714</t>
  </si>
  <si>
    <t>Surname715</t>
  </si>
  <si>
    <t>Surname716</t>
  </si>
  <si>
    <t>Surname717</t>
  </si>
  <si>
    <t>Surname718</t>
  </si>
  <si>
    <t>Surname719</t>
  </si>
  <si>
    <t>Surname720</t>
  </si>
  <si>
    <t>Surname721</t>
  </si>
  <si>
    <t>Surname722</t>
  </si>
  <si>
    <t>Surname723</t>
  </si>
  <si>
    <t>Surname724</t>
  </si>
  <si>
    <t>Surname725</t>
  </si>
  <si>
    <t>Surname726</t>
  </si>
  <si>
    <t>Surname727</t>
  </si>
  <si>
    <t>Surname728</t>
  </si>
  <si>
    <t>Surname729</t>
  </si>
  <si>
    <t>Surname730</t>
  </si>
  <si>
    <t>Surname731</t>
  </si>
  <si>
    <t>Surname732</t>
  </si>
  <si>
    <t>Surname733</t>
  </si>
  <si>
    <t>Surname734</t>
  </si>
  <si>
    <t>Surname735</t>
  </si>
  <si>
    <t>Surname736</t>
  </si>
  <si>
    <t>Surname737</t>
  </si>
  <si>
    <t>Surname738</t>
  </si>
  <si>
    <t>Surname739</t>
  </si>
  <si>
    <t>Surname740</t>
  </si>
  <si>
    <t>Surname741</t>
  </si>
  <si>
    <t>Surname742</t>
  </si>
  <si>
    <t>Surname743</t>
  </si>
  <si>
    <t>Surname744</t>
  </si>
  <si>
    <t>Surname745</t>
  </si>
  <si>
    <t>Surname746</t>
  </si>
  <si>
    <t>Surname747</t>
  </si>
  <si>
    <t>Surname748</t>
  </si>
  <si>
    <t>Surname749</t>
  </si>
  <si>
    <t>Surname750</t>
  </si>
  <si>
    <t>Surname751</t>
  </si>
  <si>
    <t>Surname752</t>
  </si>
  <si>
    <t>Surname753</t>
  </si>
  <si>
    <t>Surname754</t>
  </si>
  <si>
    <t>Surname755</t>
  </si>
  <si>
    <t>Surname756</t>
  </si>
  <si>
    <t>Surname757</t>
  </si>
  <si>
    <t>Surname758</t>
  </si>
  <si>
    <t>Surname759</t>
  </si>
  <si>
    <t>Surname760</t>
  </si>
  <si>
    <t>Surname761</t>
  </si>
  <si>
    <t>Surname762</t>
  </si>
  <si>
    <t>Surname763</t>
  </si>
  <si>
    <t>Surname764</t>
  </si>
  <si>
    <t>Surname765</t>
  </si>
  <si>
    <t>Surname766</t>
  </si>
  <si>
    <t>Surname767</t>
  </si>
  <si>
    <t>Surname768</t>
  </si>
  <si>
    <t>Surname769</t>
  </si>
  <si>
    <t>Surname770</t>
  </si>
  <si>
    <t>Surname771</t>
  </si>
  <si>
    <t>Surname772</t>
  </si>
  <si>
    <t>Surname773</t>
  </si>
  <si>
    <t>Surname774</t>
  </si>
  <si>
    <t>Surname775</t>
  </si>
  <si>
    <t>Surname776</t>
  </si>
  <si>
    <t>Surname777</t>
  </si>
  <si>
    <t>Surname778</t>
  </si>
  <si>
    <t>Surname779</t>
  </si>
  <si>
    <t>Surname780</t>
  </si>
  <si>
    <t>Surname781</t>
  </si>
  <si>
    <t>Surname782</t>
  </si>
  <si>
    <t>Surname783</t>
  </si>
  <si>
    <t>Surname784</t>
  </si>
  <si>
    <t>Surname785</t>
  </si>
  <si>
    <t>Surname786</t>
  </si>
  <si>
    <t>Surname787</t>
  </si>
  <si>
    <t>Surname788</t>
  </si>
  <si>
    <t>Surname789</t>
  </si>
  <si>
    <t>Surname790</t>
  </si>
  <si>
    <t>Surname791</t>
  </si>
  <si>
    <t>Surname792</t>
  </si>
  <si>
    <t>Surname793</t>
  </si>
  <si>
    <t>Surname794</t>
  </si>
  <si>
    <t>Surname795</t>
  </si>
  <si>
    <t>Surname796</t>
  </si>
  <si>
    <t>Surname797</t>
  </si>
  <si>
    <t>Surname798</t>
  </si>
  <si>
    <t>Surname799</t>
  </si>
  <si>
    <t>Surname800</t>
  </si>
  <si>
    <t>Surname801</t>
  </si>
  <si>
    <t>Surname802</t>
  </si>
  <si>
    <t>Surname803</t>
  </si>
  <si>
    <t>Surname804</t>
  </si>
  <si>
    <t>Surname805</t>
  </si>
  <si>
    <t>Surname806</t>
  </si>
  <si>
    <t>Surname807</t>
  </si>
  <si>
    <t>Surname808</t>
  </si>
  <si>
    <t>Surname809</t>
  </si>
  <si>
    <t>Surname810</t>
  </si>
  <si>
    <t>Surname811</t>
  </si>
  <si>
    <t>Surname812</t>
  </si>
  <si>
    <t>Surname813</t>
  </si>
  <si>
    <t>Surname814</t>
  </si>
  <si>
    <t>Surname815</t>
  </si>
  <si>
    <t>Surname816</t>
  </si>
  <si>
    <t>Surname817</t>
  </si>
  <si>
    <t>Surname818</t>
  </si>
  <si>
    <t>Surname819</t>
  </si>
  <si>
    <t>Surname820</t>
  </si>
  <si>
    <t>Surname821</t>
  </si>
  <si>
    <t>Surname822</t>
  </si>
  <si>
    <t>Surname823</t>
  </si>
  <si>
    <t>Surname824</t>
  </si>
  <si>
    <t>Surname825</t>
  </si>
  <si>
    <t>Surname826</t>
  </si>
  <si>
    <t>Surname827</t>
  </si>
  <si>
    <t>Surname828</t>
  </si>
  <si>
    <t>Surname829</t>
  </si>
  <si>
    <t>Surname830</t>
  </si>
  <si>
    <t>Surname831</t>
  </si>
  <si>
    <t>Surname832</t>
  </si>
  <si>
    <t>Surname833</t>
  </si>
  <si>
    <t>Surname834</t>
  </si>
  <si>
    <t>Surname835</t>
  </si>
  <si>
    <t>Surname836</t>
  </si>
  <si>
    <t>Surname837</t>
  </si>
  <si>
    <t>Surname838</t>
  </si>
  <si>
    <t>Surname839</t>
  </si>
  <si>
    <t>Surname840</t>
  </si>
  <si>
    <t>Surname841</t>
  </si>
  <si>
    <t>Surname842</t>
  </si>
  <si>
    <t>Surname843</t>
  </si>
  <si>
    <t>Surname844</t>
  </si>
  <si>
    <t>Surname845</t>
  </si>
  <si>
    <t>Surname846</t>
  </si>
  <si>
    <t>Surname847</t>
  </si>
  <si>
    <t>Surname848</t>
  </si>
  <si>
    <t>Surname849</t>
  </si>
  <si>
    <t>Surname850</t>
  </si>
  <si>
    <t>Surname851</t>
  </si>
  <si>
    <t>Surname852</t>
  </si>
  <si>
    <t>Surname853</t>
  </si>
  <si>
    <t>Surname854</t>
  </si>
  <si>
    <t>Surname855</t>
  </si>
  <si>
    <t>Surname856</t>
  </si>
  <si>
    <t>Surname857</t>
  </si>
  <si>
    <t>Surname858</t>
  </si>
  <si>
    <t>Surname859</t>
  </si>
  <si>
    <t>Surname860</t>
  </si>
  <si>
    <t>Surname861</t>
  </si>
  <si>
    <t>Surname862</t>
  </si>
  <si>
    <t>Surname863</t>
  </si>
  <si>
    <t>Surname864</t>
  </si>
  <si>
    <t>Surname865</t>
  </si>
  <si>
    <t>Surname866</t>
  </si>
  <si>
    <t>Surname867</t>
  </si>
  <si>
    <t>Surname868</t>
  </si>
  <si>
    <t>Surname869</t>
  </si>
  <si>
    <t>Surname870</t>
  </si>
  <si>
    <t>Surname871</t>
  </si>
  <si>
    <t>Surname872</t>
  </si>
  <si>
    <t>Surname873</t>
  </si>
  <si>
    <t>Surname874</t>
  </si>
  <si>
    <t>Surname875</t>
  </si>
  <si>
    <t>Surname876</t>
  </si>
  <si>
    <t>Surname877</t>
  </si>
  <si>
    <t>Surname878</t>
  </si>
  <si>
    <t>Surname879</t>
  </si>
  <si>
    <t>Surname880</t>
  </si>
  <si>
    <t>Surname881</t>
  </si>
  <si>
    <t>Surname882</t>
  </si>
  <si>
    <t>Surname883</t>
  </si>
  <si>
    <t>Surname884</t>
  </si>
  <si>
    <t>Surname885</t>
  </si>
  <si>
    <t>Surname886</t>
  </si>
  <si>
    <t>Surname887</t>
  </si>
  <si>
    <t>Surname888</t>
  </si>
  <si>
    <t>Surname889</t>
  </si>
  <si>
    <t>Surname890</t>
  </si>
  <si>
    <t>Surname891</t>
  </si>
  <si>
    <t>Surname892</t>
  </si>
  <si>
    <t>Surname893</t>
  </si>
  <si>
    <t>Surname894</t>
  </si>
  <si>
    <t>Surname895</t>
  </si>
  <si>
    <t>Surname896</t>
  </si>
  <si>
    <t>Surname897</t>
  </si>
  <si>
    <t>Surname898</t>
  </si>
  <si>
    <t>Surname899</t>
  </si>
  <si>
    <t>Surname900</t>
  </si>
  <si>
    <t>Surname901</t>
  </si>
  <si>
    <t>Surname902</t>
  </si>
  <si>
    <t>Surname903</t>
  </si>
  <si>
    <t>Surname904</t>
  </si>
  <si>
    <t>Surname905</t>
  </si>
  <si>
    <t>Surname906</t>
  </si>
  <si>
    <t>Surname907</t>
  </si>
  <si>
    <t>Surname908</t>
  </si>
  <si>
    <t>Surname909</t>
  </si>
  <si>
    <t>Surname910</t>
  </si>
  <si>
    <t>Surname911</t>
  </si>
  <si>
    <t>Surname912</t>
  </si>
  <si>
    <t>Surname913</t>
  </si>
  <si>
    <t>Surname914</t>
  </si>
  <si>
    <t>Surname915</t>
  </si>
  <si>
    <t>Surname916</t>
  </si>
  <si>
    <t>Surname917</t>
  </si>
  <si>
    <t>Surname918</t>
  </si>
  <si>
    <t>Surname919</t>
  </si>
  <si>
    <t>Surname920</t>
  </si>
  <si>
    <t>Surname921</t>
  </si>
  <si>
    <t>Surname922</t>
  </si>
  <si>
    <t>Surname923</t>
  </si>
  <si>
    <t>Surname924</t>
  </si>
  <si>
    <t>Surname925</t>
  </si>
  <si>
    <t>Surname926</t>
  </si>
  <si>
    <t>Surname927</t>
  </si>
  <si>
    <t>Surname928</t>
  </si>
  <si>
    <t>Surname929</t>
  </si>
  <si>
    <t>Surname930</t>
  </si>
  <si>
    <t>Surname931</t>
  </si>
  <si>
    <t>Surname932</t>
  </si>
  <si>
    <t>Surname933</t>
  </si>
  <si>
    <t>Surname934</t>
  </si>
  <si>
    <t>Surname935</t>
  </si>
  <si>
    <t>Surname936</t>
  </si>
  <si>
    <t>Surname937</t>
  </si>
  <si>
    <t>Surname938</t>
  </si>
  <si>
    <t>Surname939</t>
  </si>
  <si>
    <t>Surname940</t>
  </si>
  <si>
    <t>Surname941</t>
  </si>
  <si>
    <t>Surname942</t>
  </si>
  <si>
    <t>Surname943</t>
  </si>
  <si>
    <t>Surname944</t>
  </si>
  <si>
    <t>Surname945</t>
  </si>
  <si>
    <t>Surname946</t>
  </si>
  <si>
    <t>Surname947</t>
  </si>
  <si>
    <t>Surname948</t>
  </si>
  <si>
    <t>Surname949</t>
  </si>
  <si>
    <t>Surname950</t>
  </si>
  <si>
    <t>Surname951</t>
  </si>
  <si>
    <t>Surname952</t>
  </si>
  <si>
    <t>Surname953</t>
  </si>
  <si>
    <t>Surname954</t>
  </si>
  <si>
    <t>Surname955</t>
  </si>
  <si>
    <t>Surname956</t>
  </si>
  <si>
    <t>Surname957</t>
  </si>
  <si>
    <t>Surname958</t>
  </si>
  <si>
    <t>Surname959</t>
  </si>
  <si>
    <t>Surname960</t>
  </si>
  <si>
    <t>Surname961</t>
  </si>
  <si>
    <t>Surname962</t>
  </si>
  <si>
    <t>Surname963</t>
  </si>
  <si>
    <t>Surname964</t>
  </si>
  <si>
    <t>Surname965</t>
  </si>
  <si>
    <t>Surname966</t>
  </si>
  <si>
    <t>Surname967</t>
  </si>
  <si>
    <t>Surname968</t>
  </si>
  <si>
    <t>Surname969</t>
  </si>
  <si>
    <t>Surname970</t>
  </si>
  <si>
    <t>Surname971</t>
  </si>
  <si>
    <t>Surname972</t>
  </si>
  <si>
    <t>Surname973</t>
  </si>
  <si>
    <t>Surname974</t>
  </si>
  <si>
    <t>Surname975</t>
  </si>
  <si>
    <t>Surname976</t>
  </si>
  <si>
    <t>Surname977</t>
  </si>
  <si>
    <t>Surname978</t>
  </si>
  <si>
    <t>Surname979</t>
  </si>
  <si>
    <t>Surname980</t>
  </si>
  <si>
    <t>Surname981</t>
  </si>
  <si>
    <t>Surname982</t>
  </si>
  <si>
    <t>Surname983</t>
  </si>
  <si>
    <t>Surname984</t>
  </si>
  <si>
    <t>Surname985</t>
  </si>
  <si>
    <t>Surname986</t>
  </si>
  <si>
    <t>Surname987</t>
  </si>
  <si>
    <t>Surname988</t>
  </si>
  <si>
    <t>Surname989</t>
  </si>
  <si>
    <t>Surname990</t>
  </si>
  <si>
    <t>Surname991</t>
  </si>
  <si>
    <t>Surname992</t>
  </si>
  <si>
    <t>Surname993</t>
  </si>
  <si>
    <t>Surname994</t>
  </si>
  <si>
    <t>Surname995</t>
  </si>
  <si>
    <t>Surname996</t>
  </si>
  <si>
    <t>Surname997</t>
  </si>
  <si>
    <t>Surname998</t>
  </si>
  <si>
    <t>Surname999</t>
  </si>
  <si>
    <t>user0@example.com</t>
  </si>
  <si>
    <t>user1@example.com</t>
  </si>
  <si>
    <t>user2@example.com</t>
  </si>
  <si>
    <t>user3@example.com</t>
  </si>
  <si>
    <t>user4@example.com</t>
  </si>
  <si>
    <t>user5@example.com</t>
  </si>
  <si>
    <t>user6@example.com</t>
  </si>
  <si>
    <t>user7@example.com</t>
  </si>
  <si>
    <t>user8@example.com</t>
  </si>
  <si>
    <t>user9@example.com</t>
  </si>
  <si>
    <t>user10@example.com</t>
  </si>
  <si>
    <t>user11@example.com</t>
  </si>
  <si>
    <t>user12@example.com</t>
  </si>
  <si>
    <t>user13@example.com</t>
  </si>
  <si>
    <t>user14@example.com</t>
  </si>
  <si>
    <t>user15@example.com</t>
  </si>
  <si>
    <t>user16@example.com</t>
  </si>
  <si>
    <t>user17@example.com</t>
  </si>
  <si>
    <t>user18@example.com</t>
  </si>
  <si>
    <t>user19@example.com</t>
  </si>
  <si>
    <t>user20@example.com</t>
  </si>
  <si>
    <t>user21@example.com</t>
  </si>
  <si>
    <t>user22@example.com</t>
  </si>
  <si>
    <t>user23@example.com</t>
  </si>
  <si>
    <t>user24@example.com</t>
  </si>
  <si>
    <t>user25@example.com</t>
  </si>
  <si>
    <t>user26@example.com</t>
  </si>
  <si>
    <t>user27@example.com</t>
  </si>
  <si>
    <t>user28@example.com</t>
  </si>
  <si>
    <t>user29@example.com</t>
  </si>
  <si>
    <t>user30@example.com</t>
  </si>
  <si>
    <t>user31@example.com</t>
  </si>
  <si>
    <t>user32@example.com</t>
  </si>
  <si>
    <t>user33@example.com</t>
  </si>
  <si>
    <t>user34@example.com</t>
  </si>
  <si>
    <t>user35@example.com</t>
  </si>
  <si>
    <t>user36@example.com</t>
  </si>
  <si>
    <t>user37@example.com</t>
  </si>
  <si>
    <t>user38@example.com</t>
  </si>
  <si>
    <t>user39@example.com</t>
  </si>
  <si>
    <t>user40@example.com</t>
  </si>
  <si>
    <t>user41@example.com</t>
  </si>
  <si>
    <t>user42@example.com</t>
  </si>
  <si>
    <t>user43@example.com</t>
  </si>
  <si>
    <t>user44@example.com</t>
  </si>
  <si>
    <t>user45@example.com</t>
  </si>
  <si>
    <t>user46@example.com</t>
  </si>
  <si>
    <t>user47@example.com</t>
  </si>
  <si>
    <t>user48@example.com</t>
  </si>
  <si>
    <t>user49@example.com</t>
  </si>
  <si>
    <t>user50@example.com</t>
  </si>
  <si>
    <t>user51@example.com</t>
  </si>
  <si>
    <t>user52@example.com</t>
  </si>
  <si>
    <t>user53@example.com</t>
  </si>
  <si>
    <t>user54@example.com</t>
  </si>
  <si>
    <t>user55@example.com</t>
  </si>
  <si>
    <t>user56@example.com</t>
  </si>
  <si>
    <t>user57@example.com</t>
  </si>
  <si>
    <t>user58@example.com</t>
  </si>
  <si>
    <t>user59@example.com</t>
  </si>
  <si>
    <t>user60@example.com</t>
  </si>
  <si>
    <t>user61@example.com</t>
  </si>
  <si>
    <t>user62@example.com</t>
  </si>
  <si>
    <t>user63@example.com</t>
  </si>
  <si>
    <t>user64@example.com</t>
  </si>
  <si>
    <t>user65@example.com</t>
  </si>
  <si>
    <t>user66@example.com</t>
  </si>
  <si>
    <t>user67@example.com</t>
  </si>
  <si>
    <t>user68@example.com</t>
  </si>
  <si>
    <t>user69@example.com</t>
  </si>
  <si>
    <t>user70@example.com</t>
  </si>
  <si>
    <t>user71@example.com</t>
  </si>
  <si>
    <t>user72@example.com</t>
  </si>
  <si>
    <t>user73@example.com</t>
  </si>
  <si>
    <t>user74@example.com</t>
  </si>
  <si>
    <t>user75@example.com</t>
  </si>
  <si>
    <t>user76@example.com</t>
  </si>
  <si>
    <t>user77@example.com</t>
  </si>
  <si>
    <t>user78@example.com</t>
  </si>
  <si>
    <t>user79@example.com</t>
  </si>
  <si>
    <t>user80@example.com</t>
  </si>
  <si>
    <t>user81@example.com</t>
  </si>
  <si>
    <t>user82@example.com</t>
  </si>
  <si>
    <t>user83@example.com</t>
  </si>
  <si>
    <t>user84@example.com</t>
  </si>
  <si>
    <t>user85@example.com</t>
  </si>
  <si>
    <t>user86@example.com</t>
  </si>
  <si>
    <t>user87@example.com</t>
  </si>
  <si>
    <t>user88@example.com</t>
  </si>
  <si>
    <t>user89@example.com</t>
  </si>
  <si>
    <t>user90@example.com</t>
  </si>
  <si>
    <t>user91@example.com</t>
  </si>
  <si>
    <t>user92@example.com</t>
  </si>
  <si>
    <t>user93@example.com</t>
  </si>
  <si>
    <t>user94@example.com</t>
  </si>
  <si>
    <t>user95@example.com</t>
  </si>
  <si>
    <t>user96@example.com</t>
  </si>
  <si>
    <t>user97@example.com</t>
  </si>
  <si>
    <t>user98@example.com</t>
  </si>
  <si>
    <t>user99@example.com</t>
  </si>
  <si>
    <t>user100@example.com</t>
  </si>
  <si>
    <t>user101@example.com</t>
  </si>
  <si>
    <t>user102@example.com</t>
  </si>
  <si>
    <t>user103@example.com</t>
  </si>
  <si>
    <t>user104@example.com</t>
  </si>
  <si>
    <t>user105@example.com</t>
  </si>
  <si>
    <t>user106@example.com</t>
  </si>
  <si>
    <t>user107@example.com</t>
  </si>
  <si>
    <t>user108@example.com</t>
  </si>
  <si>
    <t>user109@example.com</t>
  </si>
  <si>
    <t>user110@example.com</t>
  </si>
  <si>
    <t>user111@example.com</t>
  </si>
  <si>
    <t>user112@example.com</t>
  </si>
  <si>
    <t>user113@example.com</t>
  </si>
  <si>
    <t>user114@example.com</t>
  </si>
  <si>
    <t>user115@example.com</t>
  </si>
  <si>
    <t>user116@example.com</t>
  </si>
  <si>
    <t>user117@example.com</t>
  </si>
  <si>
    <t>user118@example.com</t>
  </si>
  <si>
    <t>user119@example.com</t>
  </si>
  <si>
    <t>user120@example.com</t>
  </si>
  <si>
    <t>user121@example.com</t>
  </si>
  <si>
    <t>user122@example.com</t>
  </si>
  <si>
    <t>user123@example.com</t>
  </si>
  <si>
    <t>user124@example.com</t>
  </si>
  <si>
    <t>user125@example.com</t>
  </si>
  <si>
    <t>user126@example.com</t>
  </si>
  <si>
    <t>user127@example.com</t>
  </si>
  <si>
    <t>user128@example.com</t>
  </si>
  <si>
    <t>user129@example.com</t>
  </si>
  <si>
    <t>user130@example.com</t>
  </si>
  <si>
    <t>user131@example.com</t>
  </si>
  <si>
    <t>user132@example.com</t>
  </si>
  <si>
    <t>user133@example.com</t>
  </si>
  <si>
    <t>user134@example.com</t>
  </si>
  <si>
    <t>user135@example.com</t>
  </si>
  <si>
    <t>user136@example.com</t>
  </si>
  <si>
    <t>user137@example.com</t>
  </si>
  <si>
    <t>user138@example.com</t>
  </si>
  <si>
    <t>user139@example.com</t>
  </si>
  <si>
    <t>user140@example.com</t>
  </si>
  <si>
    <t>user141@example.com</t>
  </si>
  <si>
    <t>user142@example.com</t>
  </si>
  <si>
    <t>user143@example.com</t>
  </si>
  <si>
    <t>user144@example.com</t>
  </si>
  <si>
    <t>user145@example.com</t>
  </si>
  <si>
    <t>user146@example.com</t>
  </si>
  <si>
    <t>user147@example.com</t>
  </si>
  <si>
    <t>user148@example.com</t>
  </si>
  <si>
    <t>user149@example.com</t>
  </si>
  <si>
    <t>user150@example.com</t>
  </si>
  <si>
    <t>user151@example.com</t>
  </si>
  <si>
    <t>user152@example.com</t>
  </si>
  <si>
    <t>user153@example.com</t>
  </si>
  <si>
    <t>user154@example.com</t>
  </si>
  <si>
    <t>user155@example.com</t>
  </si>
  <si>
    <t>user156@example.com</t>
  </si>
  <si>
    <t>user157@example.com</t>
  </si>
  <si>
    <t>user158@example.com</t>
  </si>
  <si>
    <t>user159@example.com</t>
  </si>
  <si>
    <t>user160@example.com</t>
  </si>
  <si>
    <t>user161@example.com</t>
  </si>
  <si>
    <t>user162@example.com</t>
  </si>
  <si>
    <t>user163@example.com</t>
  </si>
  <si>
    <t>user164@example.com</t>
  </si>
  <si>
    <t>user165@example.com</t>
  </si>
  <si>
    <t>user166@example.com</t>
  </si>
  <si>
    <t>user167@example.com</t>
  </si>
  <si>
    <t>user168@example.com</t>
  </si>
  <si>
    <t>user169@example.com</t>
  </si>
  <si>
    <t>user170@example.com</t>
  </si>
  <si>
    <t>user171@example.com</t>
  </si>
  <si>
    <t>user172@example.com</t>
  </si>
  <si>
    <t>user173@example.com</t>
  </si>
  <si>
    <t>user174@example.com</t>
  </si>
  <si>
    <t>user175@example.com</t>
  </si>
  <si>
    <t>user176@example.com</t>
  </si>
  <si>
    <t>user177@example.com</t>
  </si>
  <si>
    <t>user178@example.com</t>
  </si>
  <si>
    <t>user179@example.com</t>
  </si>
  <si>
    <t>user180@example.com</t>
  </si>
  <si>
    <t>user181@example.com</t>
  </si>
  <si>
    <t>user182@example.com</t>
  </si>
  <si>
    <t>user183@example.com</t>
  </si>
  <si>
    <t>user184@example.com</t>
  </si>
  <si>
    <t>user185@example.com</t>
  </si>
  <si>
    <t>user186@example.com</t>
  </si>
  <si>
    <t>user187@example.com</t>
  </si>
  <si>
    <t>user188@example.com</t>
  </si>
  <si>
    <t>user189@example.com</t>
  </si>
  <si>
    <t>user190@example.com</t>
  </si>
  <si>
    <t>user191@example.com</t>
  </si>
  <si>
    <t>user192@example.com</t>
  </si>
  <si>
    <t>user193@example.com</t>
  </si>
  <si>
    <t>user194@example.com</t>
  </si>
  <si>
    <t>user195@example.com</t>
  </si>
  <si>
    <t>user196@example.com</t>
  </si>
  <si>
    <t>user197@example.com</t>
  </si>
  <si>
    <t>user198@example.com</t>
  </si>
  <si>
    <t>user199@example.com</t>
  </si>
  <si>
    <t>user200@example.com</t>
  </si>
  <si>
    <t>user201@example.com</t>
  </si>
  <si>
    <t>user202@example.com</t>
  </si>
  <si>
    <t>user203@example.com</t>
  </si>
  <si>
    <t>user204@example.com</t>
  </si>
  <si>
    <t>user205@example.com</t>
  </si>
  <si>
    <t>user206@example.com</t>
  </si>
  <si>
    <t>user207@example.com</t>
  </si>
  <si>
    <t>user208@example.com</t>
  </si>
  <si>
    <t>user209@example.com</t>
  </si>
  <si>
    <t>user210@example.com</t>
  </si>
  <si>
    <t>user211@example.com</t>
  </si>
  <si>
    <t>user212@example.com</t>
  </si>
  <si>
    <t>user213@example.com</t>
  </si>
  <si>
    <t>user214@example.com</t>
  </si>
  <si>
    <t>user215@example.com</t>
  </si>
  <si>
    <t>user216@example.com</t>
  </si>
  <si>
    <t>user217@example.com</t>
  </si>
  <si>
    <t>user218@example.com</t>
  </si>
  <si>
    <t>user219@example.com</t>
  </si>
  <si>
    <t>user220@example.com</t>
  </si>
  <si>
    <t>user221@example.com</t>
  </si>
  <si>
    <t>user222@example.com</t>
  </si>
  <si>
    <t>user223@example.com</t>
  </si>
  <si>
    <t>user224@example.com</t>
  </si>
  <si>
    <t>user225@example.com</t>
  </si>
  <si>
    <t>user226@example.com</t>
  </si>
  <si>
    <t>user227@example.com</t>
  </si>
  <si>
    <t>user228@example.com</t>
  </si>
  <si>
    <t>user229@example.com</t>
  </si>
  <si>
    <t>user230@example.com</t>
  </si>
  <si>
    <t>user231@example.com</t>
  </si>
  <si>
    <t>user232@example.com</t>
  </si>
  <si>
    <t>user233@example.com</t>
  </si>
  <si>
    <t>user234@example.com</t>
  </si>
  <si>
    <t>user235@example.com</t>
  </si>
  <si>
    <t>user236@example.com</t>
  </si>
  <si>
    <t>user237@example.com</t>
  </si>
  <si>
    <t>user238@example.com</t>
  </si>
  <si>
    <t>user239@example.com</t>
  </si>
  <si>
    <t>user240@example.com</t>
  </si>
  <si>
    <t>user241@example.com</t>
  </si>
  <si>
    <t>user242@example.com</t>
  </si>
  <si>
    <t>user243@example.com</t>
  </si>
  <si>
    <t>user244@example.com</t>
  </si>
  <si>
    <t>user245@example.com</t>
  </si>
  <si>
    <t>user246@example.com</t>
  </si>
  <si>
    <t>user247@example.com</t>
  </si>
  <si>
    <t>user248@example.com</t>
  </si>
  <si>
    <t>user249@example.com</t>
  </si>
  <si>
    <t>user250@example.com</t>
  </si>
  <si>
    <t>user251@example.com</t>
  </si>
  <si>
    <t>user252@example.com</t>
  </si>
  <si>
    <t>user253@example.com</t>
  </si>
  <si>
    <t>user254@example.com</t>
  </si>
  <si>
    <t>user255@example.com</t>
  </si>
  <si>
    <t>user256@example.com</t>
  </si>
  <si>
    <t>user257@example.com</t>
  </si>
  <si>
    <t>user258@example.com</t>
  </si>
  <si>
    <t>user259@example.com</t>
  </si>
  <si>
    <t>user260@example.com</t>
  </si>
  <si>
    <t>user261@example.com</t>
  </si>
  <si>
    <t>user262@example.com</t>
  </si>
  <si>
    <t>user263@example.com</t>
  </si>
  <si>
    <t>user264@example.com</t>
  </si>
  <si>
    <t>user265@example.com</t>
  </si>
  <si>
    <t>user266@example.com</t>
  </si>
  <si>
    <t>user267@example.com</t>
  </si>
  <si>
    <t>user268@example.com</t>
  </si>
  <si>
    <t>user269@example.com</t>
  </si>
  <si>
    <t>user270@example.com</t>
  </si>
  <si>
    <t>user271@example.com</t>
  </si>
  <si>
    <t>user272@example.com</t>
  </si>
  <si>
    <t>user273@example.com</t>
  </si>
  <si>
    <t>user274@example.com</t>
  </si>
  <si>
    <t>user275@example.com</t>
  </si>
  <si>
    <t>user276@example.com</t>
  </si>
  <si>
    <t>user277@example.com</t>
  </si>
  <si>
    <t>user278@example.com</t>
  </si>
  <si>
    <t>user279@example.com</t>
  </si>
  <si>
    <t>user280@example.com</t>
  </si>
  <si>
    <t>user281@example.com</t>
  </si>
  <si>
    <t>user282@example.com</t>
  </si>
  <si>
    <t>user283@example.com</t>
  </si>
  <si>
    <t>user284@example.com</t>
  </si>
  <si>
    <t>user285@example.com</t>
  </si>
  <si>
    <t>user286@example.com</t>
  </si>
  <si>
    <t>user287@example.com</t>
  </si>
  <si>
    <t>user288@example.com</t>
  </si>
  <si>
    <t>user289@example.com</t>
  </si>
  <si>
    <t>user290@example.com</t>
  </si>
  <si>
    <t>user291@example.com</t>
  </si>
  <si>
    <t>user292@example.com</t>
  </si>
  <si>
    <t>user293@example.com</t>
  </si>
  <si>
    <t>user294@example.com</t>
  </si>
  <si>
    <t>user295@example.com</t>
  </si>
  <si>
    <t>user296@example.com</t>
  </si>
  <si>
    <t>user297@example.com</t>
  </si>
  <si>
    <t>user298@example.com</t>
  </si>
  <si>
    <t>user299@example.com</t>
  </si>
  <si>
    <t>user300@example.com</t>
  </si>
  <si>
    <t>user301@example.com</t>
  </si>
  <si>
    <t>user302@example.com</t>
  </si>
  <si>
    <t>user303@example.com</t>
  </si>
  <si>
    <t>user304@example.com</t>
  </si>
  <si>
    <t>user305@example.com</t>
  </si>
  <si>
    <t>user306@example.com</t>
  </si>
  <si>
    <t>user307@example.com</t>
  </si>
  <si>
    <t>user308@example.com</t>
  </si>
  <si>
    <t>user309@example.com</t>
  </si>
  <si>
    <t>user310@example.com</t>
  </si>
  <si>
    <t>user311@example.com</t>
  </si>
  <si>
    <t>user312@example.com</t>
  </si>
  <si>
    <t>user313@example.com</t>
  </si>
  <si>
    <t>user314@example.com</t>
  </si>
  <si>
    <t>user315@example.com</t>
  </si>
  <si>
    <t>user316@example.com</t>
  </si>
  <si>
    <t>user317@example.com</t>
  </si>
  <si>
    <t>user318@example.com</t>
  </si>
  <si>
    <t>user319@example.com</t>
  </si>
  <si>
    <t>user320@example.com</t>
  </si>
  <si>
    <t>user321@example.com</t>
  </si>
  <si>
    <t>user322@example.com</t>
  </si>
  <si>
    <t>user323@example.com</t>
  </si>
  <si>
    <t>user324@example.com</t>
  </si>
  <si>
    <t>user325@example.com</t>
  </si>
  <si>
    <t>user326@example.com</t>
  </si>
  <si>
    <t>user327@example.com</t>
  </si>
  <si>
    <t>user328@example.com</t>
  </si>
  <si>
    <t>user329@example.com</t>
  </si>
  <si>
    <t>user330@example.com</t>
  </si>
  <si>
    <t>user331@example.com</t>
  </si>
  <si>
    <t>user332@example.com</t>
  </si>
  <si>
    <t>user333@example.com</t>
  </si>
  <si>
    <t>user334@example.com</t>
  </si>
  <si>
    <t>user335@example.com</t>
  </si>
  <si>
    <t>user336@example.com</t>
  </si>
  <si>
    <t>user337@example.com</t>
  </si>
  <si>
    <t>user338@example.com</t>
  </si>
  <si>
    <t>user339@example.com</t>
  </si>
  <si>
    <t>user340@example.com</t>
  </si>
  <si>
    <t>user341@example.com</t>
  </si>
  <si>
    <t>user342@example.com</t>
  </si>
  <si>
    <t>user343@example.com</t>
  </si>
  <si>
    <t>user344@example.com</t>
  </si>
  <si>
    <t>user345@example.com</t>
  </si>
  <si>
    <t>user346@example.com</t>
  </si>
  <si>
    <t>user347@example.com</t>
  </si>
  <si>
    <t>user348@example.com</t>
  </si>
  <si>
    <t>user349@example.com</t>
  </si>
  <si>
    <t>user350@example.com</t>
  </si>
  <si>
    <t>user351@example.com</t>
  </si>
  <si>
    <t>user352@example.com</t>
  </si>
  <si>
    <t>user353@example.com</t>
  </si>
  <si>
    <t>user354@example.com</t>
  </si>
  <si>
    <t>user355@example.com</t>
  </si>
  <si>
    <t>user356@example.com</t>
  </si>
  <si>
    <t>user357@example.com</t>
  </si>
  <si>
    <t>user358@example.com</t>
  </si>
  <si>
    <t>user359@example.com</t>
  </si>
  <si>
    <t>user360@example.com</t>
  </si>
  <si>
    <t>user361@example.com</t>
  </si>
  <si>
    <t>user362@example.com</t>
  </si>
  <si>
    <t>user363@example.com</t>
  </si>
  <si>
    <t>user364@example.com</t>
  </si>
  <si>
    <t>user365@example.com</t>
  </si>
  <si>
    <t>user366@example.com</t>
  </si>
  <si>
    <t>user367@example.com</t>
  </si>
  <si>
    <t>user368@example.com</t>
  </si>
  <si>
    <t>user369@example.com</t>
  </si>
  <si>
    <t>user370@example.com</t>
  </si>
  <si>
    <t>user371@example.com</t>
  </si>
  <si>
    <t>user372@example.com</t>
  </si>
  <si>
    <t>user373@example.com</t>
  </si>
  <si>
    <t>user374@example.com</t>
  </si>
  <si>
    <t>user375@example.com</t>
  </si>
  <si>
    <t>user376@example.com</t>
  </si>
  <si>
    <t>user377@example.com</t>
  </si>
  <si>
    <t>user378@example.com</t>
  </si>
  <si>
    <t>user379@example.com</t>
  </si>
  <si>
    <t>user380@example.com</t>
  </si>
  <si>
    <t>user381@example.com</t>
  </si>
  <si>
    <t>user382@example.com</t>
  </si>
  <si>
    <t>user383@example.com</t>
  </si>
  <si>
    <t>user384@example.com</t>
  </si>
  <si>
    <t>user385@example.com</t>
  </si>
  <si>
    <t>user386@example.com</t>
  </si>
  <si>
    <t>user387@example.com</t>
  </si>
  <si>
    <t>user388@example.com</t>
  </si>
  <si>
    <t>user389@example.com</t>
  </si>
  <si>
    <t>user390@example.com</t>
  </si>
  <si>
    <t>user391@example.com</t>
  </si>
  <si>
    <t>user392@example.com</t>
  </si>
  <si>
    <t>user393@example.com</t>
  </si>
  <si>
    <t>user394@example.com</t>
  </si>
  <si>
    <t>user395@example.com</t>
  </si>
  <si>
    <t>user396@example.com</t>
  </si>
  <si>
    <t>user397@example.com</t>
  </si>
  <si>
    <t>user398@example.com</t>
  </si>
  <si>
    <t>user399@example.com</t>
  </si>
  <si>
    <t>user400@example.com</t>
  </si>
  <si>
    <t>user401@example.com</t>
  </si>
  <si>
    <t>user402@example.com</t>
  </si>
  <si>
    <t>user403@example.com</t>
  </si>
  <si>
    <t>user404@example.com</t>
  </si>
  <si>
    <t>user405@example.com</t>
  </si>
  <si>
    <t>user406@example.com</t>
  </si>
  <si>
    <t>user407@example.com</t>
  </si>
  <si>
    <t>user408@example.com</t>
  </si>
  <si>
    <t>user409@example.com</t>
  </si>
  <si>
    <t>user410@example.com</t>
  </si>
  <si>
    <t>user411@example.com</t>
  </si>
  <si>
    <t>user412@example.com</t>
  </si>
  <si>
    <t>user413@example.com</t>
  </si>
  <si>
    <t>user414@example.com</t>
  </si>
  <si>
    <t>user415@example.com</t>
  </si>
  <si>
    <t>user416@example.com</t>
  </si>
  <si>
    <t>user417@example.com</t>
  </si>
  <si>
    <t>user418@example.com</t>
  </si>
  <si>
    <t>user419@example.com</t>
  </si>
  <si>
    <t>user420@example.com</t>
  </si>
  <si>
    <t>user421@example.com</t>
  </si>
  <si>
    <t>user422@example.com</t>
  </si>
  <si>
    <t>user423@example.com</t>
  </si>
  <si>
    <t>user424@example.com</t>
  </si>
  <si>
    <t>user425@example.com</t>
  </si>
  <si>
    <t>user426@example.com</t>
  </si>
  <si>
    <t>user427@example.com</t>
  </si>
  <si>
    <t>user428@example.com</t>
  </si>
  <si>
    <t>user429@example.com</t>
  </si>
  <si>
    <t>user430@example.com</t>
  </si>
  <si>
    <t>user431@example.com</t>
  </si>
  <si>
    <t>user432@example.com</t>
  </si>
  <si>
    <t>user433@example.com</t>
  </si>
  <si>
    <t>user434@example.com</t>
  </si>
  <si>
    <t>user435@example.com</t>
  </si>
  <si>
    <t>user436@example.com</t>
  </si>
  <si>
    <t>user437@example.com</t>
  </si>
  <si>
    <t>user438@example.com</t>
  </si>
  <si>
    <t>user439@example.com</t>
  </si>
  <si>
    <t>user440@example.com</t>
  </si>
  <si>
    <t>user441@example.com</t>
  </si>
  <si>
    <t>user442@example.com</t>
  </si>
  <si>
    <t>user443@example.com</t>
  </si>
  <si>
    <t>user444@example.com</t>
  </si>
  <si>
    <t>user445@example.com</t>
  </si>
  <si>
    <t>user446@example.com</t>
  </si>
  <si>
    <t>user447@example.com</t>
  </si>
  <si>
    <t>user448@example.com</t>
  </si>
  <si>
    <t>user449@example.com</t>
  </si>
  <si>
    <t>user450@example.com</t>
  </si>
  <si>
    <t>user451@example.com</t>
  </si>
  <si>
    <t>user452@example.com</t>
  </si>
  <si>
    <t>user453@example.com</t>
  </si>
  <si>
    <t>user454@example.com</t>
  </si>
  <si>
    <t>user455@example.com</t>
  </si>
  <si>
    <t>user456@example.com</t>
  </si>
  <si>
    <t>user457@example.com</t>
  </si>
  <si>
    <t>user458@example.com</t>
  </si>
  <si>
    <t>user459@example.com</t>
  </si>
  <si>
    <t>user460@example.com</t>
  </si>
  <si>
    <t>user461@example.com</t>
  </si>
  <si>
    <t>user462@example.com</t>
  </si>
  <si>
    <t>user463@example.com</t>
  </si>
  <si>
    <t>user464@example.com</t>
  </si>
  <si>
    <t>user465@example.com</t>
  </si>
  <si>
    <t>user466@example.com</t>
  </si>
  <si>
    <t>user467@example.com</t>
  </si>
  <si>
    <t>user468@example.com</t>
  </si>
  <si>
    <t>user469@example.com</t>
  </si>
  <si>
    <t>user470@example.com</t>
  </si>
  <si>
    <t>user471@example.com</t>
  </si>
  <si>
    <t>user472@example.com</t>
  </si>
  <si>
    <t>user473@example.com</t>
  </si>
  <si>
    <t>user474@example.com</t>
  </si>
  <si>
    <t>user475@example.com</t>
  </si>
  <si>
    <t>user476@example.com</t>
  </si>
  <si>
    <t>user477@example.com</t>
  </si>
  <si>
    <t>user478@example.com</t>
  </si>
  <si>
    <t>user479@example.com</t>
  </si>
  <si>
    <t>user480@example.com</t>
  </si>
  <si>
    <t>user481@example.com</t>
  </si>
  <si>
    <t>user482@example.com</t>
  </si>
  <si>
    <t>user483@example.com</t>
  </si>
  <si>
    <t>user484@example.com</t>
  </si>
  <si>
    <t>user485@example.com</t>
  </si>
  <si>
    <t>user486@example.com</t>
  </si>
  <si>
    <t>user487@example.com</t>
  </si>
  <si>
    <t>user488@example.com</t>
  </si>
  <si>
    <t>user489@example.com</t>
  </si>
  <si>
    <t>user490@example.com</t>
  </si>
  <si>
    <t>user491@example.com</t>
  </si>
  <si>
    <t>user492@example.com</t>
  </si>
  <si>
    <t>user493@example.com</t>
  </si>
  <si>
    <t>user494@example.com</t>
  </si>
  <si>
    <t>user495@example.com</t>
  </si>
  <si>
    <t>user496@example.com</t>
  </si>
  <si>
    <t>user497@example.com</t>
  </si>
  <si>
    <t>user498@example.com</t>
  </si>
  <si>
    <t>user499@example.com</t>
  </si>
  <si>
    <t>user500@example.com</t>
  </si>
  <si>
    <t>user501@example.com</t>
  </si>
  <si>
    <t>user502@example.com</t>
  </si>
  <si>
    <t>user503@example.com</t>
  </si>
  <si>
    <t>user504@example.com</t>
  </si>
  <si>
    <t>user505@example.com</t>
  </si>
  <si>
    <t>user506@example.com</t>
  </si>
  <si>
    <t>user507@example.com</t>
  </si>
  <si>
    <t>user508@example.com</t>
  </si>
  <si>
    <t>user509@example.com</t>
  </si>
  <si>
    <t>user510@example.com</t>
  </si>
  <si>
    <t>user511@example.com</t>
  </si>
  <si>
    <t>user512@example.com</t>
  </si>
  <si>
    <t>user513@example.com</t>
  </si>
  <si>
    <t>user514@example.com</t>
  </si>
  <si>
    <t>user515@example.com</t>
  </si>
  <si>
    <t>user516@example.com</t>
  </si>
  <si>
    <t>user517@example.com</t>
  </si>
  <si>
    <t>user518@example.com</t>
  </si>
  <si>
    <t>user519@example.com</t>
  </si>
  <si>
    <t>user520@example.com</t>
  </si>
  <si>
    <t>user521@example.com</t>
  </si>
  <si>
    <t>user522@example.com</t>
  </si>
  <si>
    <t>user523@example.com</t>
  </si>
  <si>
    <t>user524@example.com</t>
  </si>
  <si>
    <t>user525@example.com</t>
  </si>
  <si>
    <t>user526@example.com</t>
  </si>
  <si>
    <t>user527@example.com</t>
  </si>
  <si>
    <t>user528@example.com</t>
  </si>
  <si>
    <t>user529@example.com</t>
  </si>
  <si>
    <t>user530@example.com</t>
  </si>
  <si>
    <t>user531@example.com</t>
  </si>
  <si>
    <t>user532@example.com</t>
  </si>
  <si>
    <t>user533@example.com</t>
  </si>
  <si>
    <t>user534@example.com</t>
  </si>
  <si>
    <t>user535@example.com</t>
  </si>
  <si>
    <t>user536@example.com</t>
  </si>
  <si>
    <t>user537@example.com</t>
  </si>
  <si>
    <t>user538@example.com</t>
  </si>
  <si>
    <t>user539@example.com</t>
  </si>
  <si>
    <t>user540@example.com</t>
  </si>
  <si>
    <t>user541@example.com</t>
  </si>
  <si>
    <t>user542@example.com</t>
  </si>
  <si>
    <t>user543@example.com</t>
  </si>
  <si>
    <t>user544@example.com</t>
  </si>
  <si>
    <t>user545@example.com</t>
  </si>
  <si>
    <t>user546@example.com</t>
  </si>
  <si>
    <t>user547@example.com</t>
  </si>
  <si>
    <t>user548@example.com</t>
  </si>
  <si>
    <t>user549@example.com</t>
  </si>
  <si>
    <t>user550@example.com</t>
  </si>
  <si>
    <t>user551@example.com</t>
  </si>
  <si>
    <t>user552@example.com</t>
  </si>
  <si>
    <t>user553@example.com</t>
  </si>
  <si>
    <t>user554@example.com</t>
  </si>
  <si>
    <t>user555@example.com</t>
  </si>
  <si>
    <t>user556@example.com</t>
  </si>
  <si>
    <t>user557@example.com</t>
  </si>
  <si>
    <t>user558@example.com</t>
  </si>
  <si>
    <t>user559@example.com</t>
  </si>
  <si>
    <t>user560@example.com</t>
  </si>
  <si>
    <t>user561@example.com</t>
  </si>
  <si>
    <t>user562@example.com</t>
  </si>
  <si>
    <t>user563@example.com</t>
  </si>
  <si>
    <t>user564@example.com</t>
  </si>
  <si>
    <t>user565@example.com</t>
  </si>
  <si>
    <t>user566@example.com</t>
  </si>
  <si>
    <t>user567@example.com</t>
  </si>
  <si>
    <t>user568@example.com</t>
  </si>
  <si>
    <t>user569@example.com</t>
  </si>
  <si>
    <t>user570@example.com</t>
  </si>
  <si>
    <t>user571@example.com</t>
  </si>
  <si>
    <t>user572@example.com</t>
  </si>
  <si>
    <t>user573@example.com</t>
  </si>
  <si>
    <t>user574@example.com</t>
  </si>
  <si>
    <t>user575@example.com</t>
  </si>
  <si>
    <t>user576@example.com</t>
  </si>
  <si>
    <t>user577@example.com</t>
  </si>
  <si>
    <t>user578@example.com</t>
  </si>
  <si>
    <t>user579@example.com</t>
  </si>
  <si>
    <t>user580@example.com</t>
  </si>
  <si>
    <t>user581@example.com</t>
  </si>
  <si>
    <t>user582@example.com</t>
  </si>
  <si>
    <t>user583@example.com</t>
  </si>
  <si>
    <t>user584@example.com</t>
  </si>
  <si>
    <t>user585@example.com</t>
  </si>
  <si>
    <t>user586@example.com</t>
  </si>
  <si>
    <t>user587@example.com</t>
  </si>
  <si>
    <t>user588@example.com</t>
  </si>
  <si>
    <t>user589@example.com</t>
  </si>
  <si>
    <t>user590@example.com</t>
  </si>
  <si>
    <t>user591@example.com</t>
  </si>
  <si>
    <t>user592@example.com</t>
  </si>
  <si>
    <t>user593@example.com</t>
  </si>
  <si>
    <t>user594@example.com</t>
  </si>
  <si>
    <t>user595@example.com</t>
  </si>
  <si>
    <t>user596@example.com</t>
  </si>
  <si>
    <t>user597@example.com</t>
  </si>
  <si>
    <t>user598@example.com</t>
  </si>
  <si>
    <t>user599@example.com</t>
  </si>
  <si>
    <t>user600@example.com</t>
  </si>
  <si>
    <t>user601@example.com</t>
  </si>
  <si>
    <t>user602@example.com</t>
  </si>
  <si>
    <t>user603@example.com</t>
  </si>
  <si>
    <t>user604@example.com</t>
  </si>
  <si>
    <t>user605@example.com</t>
  </si>
  <si>
    <t>user606@example.com</t>
  </si>
  <si>
    <t>user607@example.com</t>
  </si>
  <si>
    <t>user608@example.com</t>
  </si>
  <si>
    <t>user609@example.com</t>
  </si>
  <si>
    <t>user610@example.com</t>
  </si>
  <si>
    <t>user611@example.com</t>
  </si>
  <si>
    <t>user612@example.com</t>
  </si>
  <si>
    <t>user613@example.com</t>
  </si>
  <si>
    <t>user614@example.com</t>
  </si>
  <si>
    <t>user615@example.com</t>
  </si>
  <si>
    <t>user616@example.com</t>
  </si>
  <si>
    <t>user617@example.com</t>
  </si>
  <si>
    <t>user618@example.com</t>
  </si>
  <si>
    <t>user619@example.com</t>
  </si>
  <si>
    <t>user620@example.com</t>
  </si>
  <si>
    <t>user621@example.com</t>
  </si>
  <si>
    <t>user622@example.com</t>
  </si>
  <si>
    <t>user623@example.com</t>
  </si>
  <si>
    <t>user624@example.com</t>
  </si>
  <si>
    <t>user625@example.com</t>
  </si>
  <si>
    <t>user626@example.com</t>
  </si>
  <si>
    <t>user627@example.com</t>
  </si>
  <si>
    <t>user628@example.com</t>
  </si>
  <si>
    <t>user629@example.com</t>
  </si>
  <si>
    <t>user630@example.com</t>
  </si>
  <si>
    <t>user631@example.com</t>
  </si>
  <si>
    <t>user632@example.com</t>
  </si>
  <si>
    <t>user633@example.com</t>
  </si>
  <si>
    <t>user634@example.com</t>
  </si>
  <si>
    <t>user635@example.com</t>
  </si>
  <si>
    <t>user636@example.com</t>
  </si>
  <si>
    <t>user637@example.com</t>
  </si>
  <si>
    <t>user638@example.com</t>
  </si>
  <si>
    <t>user639@example.com</t>
  </si>
  <si>
    <t>user640@example.com</t>
  </si>
  <si>
    <t>user641@example.com</t>
  </si>
  <si>
    <t>user642@example.com</t>
  </si>
  <si>
    <t>user643@example.com</t>
  </si>
  <si>
    <t>user644@example.com</t>
  </si>
  <si>
    <t>user645@example.com</t>
  </si>
  <si>
    <t>user646@example.com</t>
  </si>
  <si>
    <t>user647@example.com</t>
  </si>
  <si>
    <t>user648@example.com</t>
  </si>
  <si>
    <t>user649@example.com</t>
  </si>
  <si>
    <t>user650@example.com</t>
  </si>
  <si>
    <t>user651@example.com</t>
  </si>
  <si>
    <t>user652@example.com</t>
  </si>
  <si>
    <t>user653@example.com</t>
  </si>
  <si>
    <t>user654@example.com</t>
  </si>
  <si>
    <t>user655@example.com</t>
  </si>
  <si>
    <t>user656@example.com</t>
  </si>
  <si>
    <t>user657@example.com</t>
  </si>
  <si>
    <t>user658@example.com</t>
  </si>
  <si>
    <t>user659@example.com</t>
  </si>
  <si>
    <t>user660@example.com</t>
  </si>
  <si>
    <t>user661@example.com</t>
  </si>
  <si>
    <t>user662@example.com</t>
  </si>
  <si>
    <t>user663@example.com</t>
  </si>
  <si>
    <t>user664@example.com</t>
  </si>
  <si>
    <t>user665@example.com</t>
  </si>
  <si>
    <t>user666@example.com</t>
  </si>
  <si>
    <t>user667@example.com</t>
  </si>
  <si>
    <t>user668@example.com</t>
  </si>
  <si>
    <t>user669@example.com</t>
  </si>
  <si>
    <t>user670@example.com</t>
  </si>
  <si>
    <t>user671@example.com</t>
  </si>
  <si>
    <t>user672@example.com</t>
  </si>
  <si>
    <t>user673@example.com</t>
  </si>
  <si>
    <t>user674@example.com</t>
  </si>
  <si>
    <t>user675@example.com</t>
  </si>
  <si>
    <t>user676@example.com</t>
  </si>
  <si>
    <t>user677@example.com</t>
  </si>
  <si>
    <t>user678@example.com</t>
  </si>
  <si>
    <t>user679@example.com</t>
  </si>
  <si>
    <t>user680@example.com</t>
  </si>
  <si>
    <t>user681@example.com</t>
  </si>
  <si>
    <t>user682@example.com</t>
  </si>
  <si>
    <t>user683@example.com</t>
  </si>
  <si>
    <t>user684@example.com</t>
  </si>
  <si>
    <t>user685@example.com</t>
  </si>
  <si>
    <t>user686@example.com</t>
  </si>
  <si>
    <t>user687@example.com</t>
  </si>
  <si>
    <t>user688@example.com</t>
  </si>
  <si>
    <t>user689@example.com</t>
  </si>
  <si>
    <t>user690@example.com</t>
  </si>
  <si>
    <t>user691@example.com</t>
  </si>
  <si>
    <t>user692@example.com</t>
  </si>
  <si>
    <t>user693@example.com</t>
  </si>
  <si>
    <t>user694@example.com</t>
  </si>
  <si>
    <t>user695@example.com</t>
  </si>
  <si>
    <t>user696@example.com</t>
  </si>
  <si>
    <t>user697@example.com</t>
  </si>
  <si>
    <t>user698@example.com</t>
  </si>
  <si>
    <t>user699@example.com</t>
  </si>
  <si>
    <t>user700@example.com</t>
  </si>
  <si>
    <t>user701@example.com</t>
  </si>
  <si>
    <t>user702@example.com</t>
  </si>
  <si>
    <t>user703@example.com</t>
  </si>
  <si>
    <t>user704@example.com</t>
  </si>
  <si>
    <t>user705@example.com</t>
  </si>
  <si>
    <t>user706@example.com</t>
  </si>
  <si>
    <t>user707@example.com</t>
  </si>
  <si>
    <t>user708@example.com</t>
  </si>
  <si>
    <t>user709@example.com</t>
  </si>
  <si>
    <t>user710@example.com</t>
  </si>
  <si>
    <t>user711@example.com</t>
  </si>
  <si>
    <t>user712@example.com</t>
  </si>
  <si>
    <t>user713@example.com</t>
  </si>
  <si>
    <t>user714@example.com</t>
  </si>
  <si>
    <t>user715@example.com</t>
  </si>
  <si>
    <t>user716@example.com</t>
  </si>
  <si>
    <t>user717@example.com</t>
  </si>
  <si>
    <t>user718@example.com</t>
  </si>
  <si>
    <t>user719@example.com</t>
  </si>
  <si>
    <t>user720@example.com</t>
  </si>
  <si>
    <t>user721@example.com</t>
  </si>
  <si>
    <t>user722@example.com</t>
  </si>
  <si>
    <t>user723@example.com</t>
  </si>
  <si>
    <t>user724@example.com</t>
  </si>
  <si>
    <t>user725@example.com</t>
  </si>
  <si>
    <t>user726@example.com</t>
  </si>
  <si>
    <t>user727@example.com</t>
  </si>
  <si>
    <t>user728@example.com</t>
  </si>
  <si>
    <t>user729@example.com</t>
  </si>
  <si>
    <t>user730@example.com</t>
  </si>
  <si>
    <t>user731@example.com</t>
  </si>
  <si>
    <t>user732@example.com</t>
  </si>
  <si>
    <t>user733@example.com</t>
  </si>
  <si>
    <t>user734@example.com</t>
  </si>
  <si>
    <t>user735@example.com</t>
  </si>
  <si>
    <t>user736@example.com</t>
  </si>
  <si>
    <t>user737@example.com</t>
  </si>
  <si>
    <t>user738@example.com</t>
  </si>
  <si>
    <t>user739@example.com</t>
  </si>
  <si>
    <t>user740@example.com</t>
  </si>
  <si>
    <t>user741@example.com</t>
  </si>
  <si>
    <t>user742@example.com</t>
  </si>
  <si>
    <t>user743@example.com</t>
  </si>
  <si>
    <t>user744@example.com</t>
  </si>
  <si>
    <t>user745@example.com</t>
  </si>
  <si>
    <t>user746@example.com</t>
  </si>
  <si>
    <t>user747@example.com</t>
  </si>
  <si>
    <t>user748@example.com</t>
  </si>
  <si>
    <t>user749@example.com</t>
  </si>
  <si>
    <t>user750@example.com</t>
  </si>
  <si>
    <t>user751@example.com</t>
  </si>
  <si>
    <t>user752@example.com</t>
  </si>
  <si>
    <t>user753@example.com</t>
  </si>
  <si>
    <t>user754@example.com</t>
  </si>
  <si>
    <t>user755@example.com</t>
  </si>
  <si>
    <t>user756@example.com</t>
  </si>
  <si>
    <t>user757@example.com</t>
  </si>
  <si>
    <t>user758@example.com</t>
  </si>
  <si>
    <t>user759@example.com</t>
  </si>
  <si>
    <t>user760@example.com</t>
  </si>
  <si>
    <t>user761@example.com</t>
  </si>
  <si>
    <t>user762@example.com</t>
  </si>
  <si>
    <t>user763@example.com</t>
  </si>
  <si>
    <t>user764@example.com</t>
  </si>
  <si>
    <t>user765@example.com</t>
  </si>
  <si>
    <t>user766@example.com</t>
  </si>
  <si>
    <t>user767@example.com</t>
  </si>
  <si>
    <t>user768@example.com</t>
  </si>
  <si>
    <t>user769@example.com</t>
  </si>
  <si>
    <t>user770@example.com</t>
  </si>
  <si>
    <t>user771@example.com</t>
  </si>
  <si>
    <t>user772@example.com</t>
  </si>
  <si>
    <t>user773@example.com</t>
  </si>
  <si>
    <t>user774@example.com</t>
  </si>
  <si>
    <t>user775@example.com</t>
  </si>
  <si>
    <t>user776@example.com</t>
  </si>
  <si>
    <t>user777@example.com</t>
  </si>
  <si>
    <t>user778@example.com</t>
  </si>
  <si>
    <t>user779@example.com</t>
  </si>
  <si>
    <t>user780@example.com</t>
  </si>
  <si>
    <t>user781@example.com</t>
  </si>
  <si>
    <t>user782@example.com</t>
  </si>
  <si>
    <t>user783@example.com</t>
  </si>
  <si>
    <t>user784@example.com</t>
  </si>
  <si>
    <t>user785@example.com</t>
  </si>
  <si>
    <t>user786@example.com</t>
  </si>
  <si>
    <t>user787@example.com</t>
  </si>
  <si>
    <t>user788@example.com</t>
  </si>
  <si>
    <t>user789@example.com</t>
  </si>
  <si>
    <t>user790@example.com</t>
  </si>
  <si>
    <t>user791@example.com</t>
  </si>
  <si>
    <t>user792@example.com</t>
  </si>
  <si>
    <t>user793@example.com</t>
  </si>
  <si>
    <t>user794@example.com</t>
  </si>
  <si>
    <t>user795@example.com</t>
  </si>
  <si>
    <t>user796@example.com</t>
  </si>
  <si>
    <t>user797@example.com</t>
  </si>
  <si>
    <t>user798@example.com</t>
  </si>
  <si>
    <t>user799@example.com</t>
  </si>
  <si>
    <t>user800@example.com</t>
  </si>
  <si>
    <t>user801@example.com</t>
  </si>
  <si>
    <t>user802@example.com</t>
  </si>
  <si>
    <t>user803@example.com</t>
  </si>
  <si>
    <t>user804@example.com</t>
  </si>
  <si>
    <t>user805@example.com</t>
  </si>
  <si>
    <t>user806@example.com</t>
  </si>
  <si>
    <t>user807@example.com</t>
  </si>
  <si>
    <t>user808@example.com</t>
  </si>
  <si>
    <t>user809@example.com</t>
  </si>
  <si>
    <t>user810@example.com</t>
  </si>
  <si>
    <t>user811@example.com</t>
  </si>
  <si>
    <t>user812@example.com</t>
  </si>
  <si>
    <t>user813@example.com</t>
  </si>
  <si>
    <t>user814@example.com</t>
  </si>
  <si>
    <t>user815@example.com</t>
  </si>
  <si>
    <t>user816@example.com</t>
  </si>
  <si>
    <t>user817@example.com</t>
  </si>
  <si>
    <t>user818@example.com</t>
  </si>
  <si>
    <t>user819@example.com</t>
  </si>
  <si>
    <t>user820@example.com</t>
  </si>
  <si>
    <t>user821@example.com</t>
  </si>
  <si>
    <t>user822@example.com</t>
  </si>
  <si>
    <t>user823@example.com</t>
  </si>
  <si>
    <t>user824@example.com</t>
  </si>
  <si>
    <t>user825@example.com</t>
  </si>
  <si>
    <t>user826@example.com</t>
  </si>
  <si>
    <t>user827@example.com</t>
  </si>
  <si>
    <t>user828@example.com</t>
  </si>
  <si>
    <t>user829@example.com</t>
  </si>
  <si>
    <t>user830@example.com</t>
  </si>
  <si>
    <t>user831@example.com</t>
  </si>
  <si>
    <t>user832@example.com</t>
  </si>
  <si>
    <t>user833@example.com</t>
  </si>
  <si>
    <t>user834@example.com</t>
  </si>
  <si>
    <t>user835@example.com</t>
  </si>
  <si>
    <t>user836@example.com</t>
  </si>
  <si>
    <t>user837@example.com</t>
  </si>
  <si>
    <t>user838@example.com</t>
  </si>
  <si>
    <t>user839@example.com</t>
  </si>
  <si>
    <t>user840@example.com</t>
  </si>
  <si>
    <t>user841@example.com</t>
  </si>
  <si>
    <t>user842@example.com</t>
  </si>
  <si>
    <t>user843@example.com</t>
  </si>
  <si>
    <t>user844@example.com</t>
  </si>
  <si>
    <t>user845@example.com</t>
  </si>
  <si>
    <t>user846@example.com</t>
  </si>
  <si>
    <t>user847@example.com</t>
  </si>
  <si>
    <t>user848@example.com</t>
  </si>
  <si>
    <t>user849@example.com</t>
  </si>
  <si>
    <t>user850@example.com</t>
  </si>
  <si>
    <t>user851@example.com</t>
  </si>
  <si>
    <t>user852@example.com</t>
  </si>
  <si>
    <t>user853@example.com</t>
  </si>
  <si>
    <t>user854@example.com</t>
  </si>
  <si>
    <t>user855@example.com</t>
  </si>
  <si>
    <t>user856@example.com</t>
  </si>
  <si>
    <t>user857@example.com</t>
  </si>
  <si>
    <t>user858@example.com</t>
  </si>
  <si>
    <t>user859@example.com</t>
  </si>
  <si>
    <t>user860@example.com</t>
  </si>
  <si>
    <t>user861@example.com</t>
  </si>
  <si>
    <t>user862@example.com</t>
  </si>
  <si>
    <t>user863@example.com</t>
  </si>
  <si>
    <t>user864@example.com</t>
  </si>
  <si>
    <t>user865@example.com</t>
  </si>
  <si>
    <t>user866@example.com</t>
  </si>
  <si>
    <t>user867@example.com</t>
  </si>
  <si>
    <t>user868@example.com</t>
  </si>
  <si>
    <t>user869@example.com</t>
  </si>
  <si>
    <t>user870@example.com</t>
  </si>
  <si>
    <t>user871@example.com</t>
  </si>
  <si>
    <t>user872@example.com</t>
  </si>
  <si>
    <t>user873@example.com</t>
  </si>
  <si>
    <t>user874@example.com</t>
  </si>
  <si>
    <t>user875@example.com</t>
  </si>
  <si>
    <t>user876@example.com</t>
  </si>
  <si>
    <t>user877@example.com</t>
  </si>
  <si>
    <t>user878@example.com</t>
  </si>
  <si>
    <t>user879@example.com</t>
  </si>
  <si>
    <t>user880@example.com</t>
  </si>
  <si>
    <t>user881@example.com</t>
  </si>
  <si>
    <t>user882@example.com</t>
  </si>
  <si>
    <t>user883@example.com</t>
  </si>
  <si>
    <t>user884@example.com</t>
  </si>
  <si>
    <t>user885@example.com</t>
  </si>
  <si>
    <t>user886@example.com</t>
  </si>
  <si>
    <t>user887@example.com</t>
  </si>
  <si>
    <t>user888@example.com</t>
  </si>
  <si>
    <t>user889@example.com</t>
  </si>
  <si>
    <t>user890@example.com</t>
  </si>
  <si>
    <t>user891@example.com</t>
  </si>
  <si>
    <t>user892@example.com</t>
  </si>
  <si>
    <t>user893@example.com</t>
  </si>
  <si>
    <t>user894@example.com</t>
  </si>
  <si>
    <t>user895@example.com</t>
  </si>
  <si>
    <t>user896@example.com</t>
  </si>
  <si>
    <t>user897@example.com</t>
  </si>
  <si>
    <t>user898@example.com</t>
  </si>
  <si>
    <t>user899@example.com</t>
  </si>
  <si>
    <t>user900@example.com</t>
  </si>
  <si>
    <t>user901@example.com</t>
  </si>
  <si>
    <t>user902@example.com</t>
  </si>
  <si>
    <t>user903@example.com</t>
  </si>
  <si>
    <t>user904@example.com</t>
  </si>
  <si>
    <t>user905@example.com</t>
  </si>
  <si>
    <t>user906@example.com</t>
  </si>
  <si>
    <t>user907@example.com</t>
  </si>
  <si>
    <t>user908@example.com</t>
  </si>
  <si>
    <t>user909@example.com</t>
  </si>
  <si>
    <t>user910@example.com</t>
  </si>
  <si>
    <t>user911@example.com</t>
  </si>
  <si>
    <t>user912@example.com</t>
  </si>
  <si>
    <t>user913@example.com</t>
  </si>
  <si>
    <t>user914@example.com</t>
  </si>
  <si>
    <t>user915@example.com</t>
  </si>
  <si>
    <t>user916@example.com</t>
  </si>
  <si>
    <t>user917@example.com</t>
  </si>
  <si>
    <t>user918@example.com</t>
  </si>
  <si>
    <t>user919@example.com</t>
  </si>
  <si>
    <t>user920@example.com</t>
  </si>
  <si>
    <t>user921@example.com</t>
  </si>
  <si>
    <t>user922@example.com</t>
  </si>
  <si>
    <t>user923@example.com</t>
  </si>
  <si>
    <t>user924@example.com</t>
  </si>
  <si>
    <t>user925@example.com</t>
  </si>
  <si>
    <t>user926@example.com</t>
  </si>
  <si>
    <t>user927@example.com</t>
  </si>
  <si>
    <t>user928@example.com</t>
  </si>
  <si>
    <t>user929@example.com</t>
  </si>
  <si>
    <t>user930@example.com</t>
  </si>
  <si>
    <t>user931@example.com</t>
  </si>
  <si>
    <t>user932@example.com</t>
  </si>
  <si>
    <t>user933@example.com</t>
  </si>
  <si>
    <t>user934@example.com</t>
  </si>
  <si>
    <t>user935@example.com</t>
  </si>
  <si>
    <t>user936@example.com</t>
  </si>
  <si>
    <t>user937@example.com</t>
  </si>
  <si>
    <t>user938@example.com</t>
  </si>
  <si>
    <t>user939@example.com</t>
  </si>
  <si>
    <t>user940@example.com</t>
  </si>
  <si>
    <t>user941@example.com</t>
  </si>
  <si>
    <t>user942@example.com</t>
  </si>
  <si>
    <t>user943@example.com</t>
  </si>
  <si>
    <t>user944@example.com</t>
  </si>
  <si>
    <t>user945@example.com</t>
  </si>
  <si>
    <t>user946@example.com</t>
  </si>
  <si>
    <t>user947@example.com</t>
  </si>
  <si>
    <t>user948@example.com</t>
  </si>
  <si>
    <t>user949@example.com</t>
  </si>
  <si>
    <t>user950@example.com</t>
  </si>
  <si>
    <t>user951@example.com</t>
  </si>
  <si>
    <t>user952@example.com</t>
  </si>
  <si>
    <t>user953@example.com</t>
  </si>
  <si>
    <t>user954@example.com</t>
  </si>
  <si>
    <t>user955@example.com</t>
  </si>
  <si>
    <t>user956@example.com</t>
  </si>
  <si>
    <t>user957@example.com</t>
  </si>
  <si>
    <t>user958@example.com</t>
  </si>
  <si>
    <t>user959@example.com</t>
  </si>
  <si>
    <t>user960@example.com</t>
  </si>
  <si>
    <t>user961@example.com</t>
  </si>
  <si>
    <t>user962@example.com</t>
  </si>
  <si>
    <t>user963@example.com</t>
  </si>
  <si>
    <t>user964@example.com</t>
  </si>
  <si>
    <t>user965@example.com</t>
  </si>
  <si>
    <t>user966@example.com</t>
  </si>
  <si>
    <t>user967@example.com</t>
  </si>
  <si>
    <t>user968@example.com</t>
  </si>
  <si>
    <t>user969@example.com</t>
  </si>
  <si>
    <t>user970@example.com</t>
  </si>
  <si>
    <t>user971@example.com</t>
  </si>
  <si>
    <t>user972@example.com</t>
  </si>
  <si>
    <t>user973@example.com</t>
  </si>
  <si>
    <t>user974@example.com</t>
  </si>
  <si>
    <t>user975@example.com</t>
  </si>
  <si>
    <t>user976@example.com</t>
  </si>
  <si>
    <t>user977@example.com</t>
  </si>
  <si>
    <t>user978@example.com</t>
  </si>
  <si>
    <t>user979@example.com</t>
  </si>
  <si>
    <t>user980@example.com</t>
  </si>
  <si>
    <t>user981@example.com</t>
  </si>
  <si>
    <t>user982@example.com</t>
  </si>
  <si>
    <t>user983@example.com</t>
  </si>
  <si>
    <t>user984@example.com</t>
  </si>
  <si>
    <t>user985@example.com</t>
  </si>
  <si>
    <t>user986@example.com</t>
  </si>
  <si>
    <t>user987@example.com</t>
  </si>
  <si>
    <t>user988@example.com</t>
  </si>
  <si>
    <t>user989@example.com</t>
  </si>
  <si>
    <t>user990@example.com</t>
  </si>
  <si>
    <t>user991@example.com</t>
  </si>
  <si>
    <t>user992@example.com</t>
  </si>
  <si>
    <t>user993@example.com</t>
  </si>
  <si>
    <t>user994@example.com</t>
  </si>
  <si>
    <t>user995@example.com</t>
  </si>
  <si>
    <t>user996@example.com</t>
  </si>
  <si>
    <t>user997@example.com</t>
  </si>
  <si>
    <t>user998@example.com</t>
  </si>
  <si>
    <t>user999@example.com</t>
  </si>
  <si>
    <t>+12033444569</t>
  </si>
  <si>
    <t>+19119527650</t>
  </si>
  <si>
    <t>+17981907864</t>
  </si>
  <si>
    <t>+16457017295</t>
  </si>
  <si>
    <t>+11914208970</t>
  </si>
  <si>
    <t>+19153722981</t>
  </si>
  <si>
    <t>+14283234997</t>
  </si>
  <si>
    <t>+14779696925</t>
  </si>
  <si>
    <t>+11682148608</t>
  </si>
  <si>
    <t>+17968361618</t>
  </si>
  <si>
    <t>+12307480679</t>
  </si>
  <si>
    <t>+11032281406</t>
  </si>
  <si>
    <t>+16099878128</t>
  </si>
  <si>
    <t>+11665708980</t>
  </si>
  <si>
    <t>+14684269288</t>
  </si>
  <si>
    <t>+11516005294</t>
  </si>
  <si>
    <t>+17700796334</t>
  </si>
  <si>
    <t>+13672203929</t>
  </si>
  <si>
    <t>+19106198287</t>
  </si>
  <si>
    <t>+14156806882</t>
  </si>
  <si>
    <t>+16940794554</t>
  </si>
  <si>
    <t>+11426696368</t>
  </si>
  <si>
    <t>+14100053912</t>
  </si>
  <si>
    <t>+15629798423</t>
  </si>
  <si>
    <t>+16557117376</t>
  </si>
  <si>
    <t>+15969887881</t>
  </si>
  <si>
    <t>+17655419818</t>
  </si>
  <si>
    <t>+19251288723</t>
  </si>
  <si>
    <t>+14009204685</t>
  </si>
  <si>
    <t>+13104570586</t>
  </si>
  <si>
    <t>+19823446484</t>
  </si>
  <si>
    <t>+19115543831</t>
  </si>
  <si>
    <t>+12567379725</t>
  </si>
  <si>
    <t>+11025649223</t>
  </si>
  <si>
    <t>+13616704906</t>
  </si>
  <si>
    <t>+19120061758</t>
  </si>
  <si>
    <t>+12765116801</t>
  </si>
  <si>
    <t>+11897865493</t>
  </si>
  <si>
    <t>+11196258903</t>
  </si>
  <si>
    <t>+15206720004</t>
  </si>
  <si>
    <t>+18009482097</t>
  </si>
  <si>
    <t>+17292402134</t>
  </si>
  <si>
    <t>+14396294588</t>
  </si>
  <si>
    <t>+14183236469</t>
  </si>
  <si>
    <t>+12232690681</t>
  </si>
  <si>
    <t>+13285403079</t>
  </si>
  <si>
    <t>+14823102933</t>
  </si>
  <si>
    <t>+14564550605</t>
  </si>
  <si>
    <t>+14805467570</t>
  </si>
  <si>
    <t>+17603686801</t>
  </si>
  <si>
    <t>+13516910408</t>
  </si>
  <si>
    <t>+13226611282</t>
  </si>
  <si>
    <t>+15143283083</t>
  </si>
  <si>
    <t>+19161713493</t>
  </si>
  <si>
    <t>+15740012368</t>
  </si>
  <si>
    <t>+19726520940</t>
  </si>
  <si>
    <t>+19213766011</t>
  </si>
  <si>
    <t>+11026950428</t>
  </si>
  <si>
    <t>+11548406677</t>
  </si>
  <si>
    <t>+14137233516</t>
  </si>
  <si>
    <t>+15938946869</t>
  </si>
  <si>
    <t>+11872251192</t>
  </si>
  <si>
    <t>+19262158260</t>
  </si>
  <si>
    <t>+11517049093</t>
  </si>
  <si>
    <t>+15229683778</t>
  </si>
  <si>
    <t>+12111516485</t>
  </si>
  <si>
    <t>+16681875236</t>
  </si>
  <si>
    <t>+11788034966</t>
  </si>
  <si>
    <t>+11062548193</t>
  </si>
  <si>
    <t>+15413984235</t>
  </si>
  <si>
    <t>+18931944375</t>
  </si>
  <si>
    <t>+19580594798</t>
  </si>
  <si>
    <t>+14328177004</t>
  </si>
  <si>
    <t>+11706625214</t>
  </si>
  <si>
    <t>+15880011250</t>
  </si>
  <si>
    <t>+15382221417</t>
  </si>
  <si>
    <t>+19849104207</t>
  </si>
  <si>
    <t>+19301457816</t>
  </si>
  <si>
    <t>+16323413274</t>
  </si>
  <si>
    <t>+13465392887</t>
  </si>
  <si>
    <t>+18326021195</t>
  </si>
  <si>
    <t>+15779634558</t>
  </si>
  <si>
    <t>+15120154148</t>
  </si>
  <si>
    <t>+19297623999</t>
  </si>
  <si>
    <t>+19222809163</t>
  </si>
  <si>
    <t>+15719396044</t>
  </si>
  <si>
    <t>+15417980446</t>
  </si>
  <si>
    <t>+12375024760</t>
  </si>
  <si>
    <t>+11667406098</t>
  </si>
  <si>
    <t>+15166565591</t>
  </si>
  <si>
    <t>+17436614182</t>
  </si>
  <si>
    <t>+16653930729</t>
  </si>
  <si>
    <t>+11144134140</t>
  </si>
  <si>
    <t>+14413316865</t>
  </si>
  <si>
    <t>+17812105017</t>
  </si>
  <si>
    <t>+11397603883</t>
  </si>
  <si>
    <t>+18748126717</t>
  </si>
  <si>
    <t>+17981214027</t>
  </si>
  <si>
    <t>+16906218058</t>
  </si>
  <si>
    <t>+14792032670</t>
  </si>
  <si>
    <t>+18113893426</t>
  </si>
  <si>
    <t>+16491630886</t>
  </si>
  <si>
    <t>+11173390611</t>
  </si>
  <si>
    <t>+15582426581</t>
  </si>
  <si>
    <t>+18976097513</t>
  </si>
  <si>
    <t>+17020169039</t>
  </si>
  <si>
    <t>+15683892588</t>
  </si>
  <si>
    <t>+14402256913</t>
  </si>
  <si>
    <t>+14514349392</t>
  </si>
  <si>
    <t>+13837515015</t>
  </si>
  <si>
    <t>+15185934258</t>
  </si>
  <si>
    <t>+16138898284</t>
  </si>
  <si>
    <t>+13134390042</t>
  </si>
  <si>
    <t>+13870495386</t>
  </si>
  <si>
    <t>+16900008046</t>
  </si>
  <si>
    <t>+13393966458</t>
  </si>
  <si>
    <t>+14072510221</t>
  </si>
  <si>
    <t>+18539951752</t>
  </si>
  <si>
    <t>+13621311934</t>
  </si>
  <si>
    <t>+18826164693</t>
  </si>
  <si>
    <t>+19861357757</t>
  </si>
  <si>
    <t>+11096585105</t>
  </si>
  <si>
    <t>+16972481573</t>
  </si>
  <si>
    <t>+14535836404</t>
  </si>
  <si>
    <t>+14988841928</t>
  </si>
  <si>
    <t>+19650631341</t>
  </si>
  <si>
    <t>+18984758855</t>
  </si>
  <si>
    <t>+13020548172</t>
  </si>
  <si>
    <t>+12367783401</t>
  </si>
  <si>
    <t>+19463453131</t>
  </si>
  <si>
    <t>+14730190517</t>
  </si>
  <si>
    <t>+19980420854</t>
  </si>
  <si>
    <t>+15634554068</t>
  </si>
  <si>
    <t>+13893967863</t>
  </si>
  <si>
    <t>+13585321456</t>
  </si>
  <si>
    <t>+14394857467</t>
  </si>
  <si>
    <t>+13129230076</t>
  </si>
  <si>
    <t>+15595372666</t>
  </si>
  <si>
    <t>+12295335471</t>
  </si>
  <si>
    <t>+11164073544</t>
  </si>
  <si>
    <t>+13528086190</t>
  </si>
  <si>
    <t>+15681118844</t>
  </si>
  <si>
    <t>+11281781865</t>
  </si>
  <si>
    <t>+14825824146</t>
  </si>
  <si>
    <t>+18355991810</t>
  </si>
  <si>
    <t>+14488330626</t>
  </si>
  <si>
    <t>+14161343582</t>
  </si>
  <si>
    <t>+19912345622</t>
  </si>
  <si>
    <t>+16315762698</t>
  </si>
  <si>
    <t>+13811884980</t>
  </si>
  <si>
    <t>+12416044031</t>
  </si>
  <si>
    <t>+11579738826</t>
  </si>
  <si>
    <t>+17194221335</t>
  </si>
  <si>
    <t>+13346579779</t>
  </si>
  <si>
    <t>+16770275564</t>
  </si>
  <si>
    <t>+16707506455</t>
  </si>
  <si>
    <t>+13163095380</t>
  </si>
  <si>
    <t>+16819056708</t>
  </si>
  <si>
    <t>+15752630764</t>
  </si>
  <si>
    <t>+17125322384</t>
  </si>
  <si>
    <t>+11385046725</t>
  </si>
  <si>
    <t>+16927177566</t>
  </si>
  <si>
    <t>+12149299314</t>
  </si>
  <si>
    <t>+17841103677</t>
  </si>
  <si>
    <t>+16405239604</t>
  </si>
  <si>
    <t>+15250375764</t>
  </si>
  <si>
    <t>+11787157000</t>
  </si>
  <si>
    <t>+12451606778</t>
  </si>
  <si>
    <t>+16150430418</t>
  </si>
  <si>
    <t>+19960048525</t>
  </si>
  <si>
    <t>+14887427226</t>
  </si>
  <si>
    <t>+12400533350</t>
  </si>
  <si>
    <t>+17482677568</t>
  </si>
  <si>
    <t>+16302085347</t>
  </si>
  <si>
    <t>+13554813070</t>
  </si>
  <si>
    <t>+13330699322</t>
  </si>
  <si>
    <t>+16504089549</t>
  </si>
  <si>
    <t>+15799015259</t>
  </si>
  <si>
    <t>+19721996110</t>
  </si>
  <si>
    <t>+19730576215</t>
  </si>
  <si>
    <t>+15486383486</t>
  </si>
  <si>
    <t>+19066960068</t>
  </si>
  <si>
    <t>+16418183950</t>
  </si>
  <si>
    <t>+12542656185</t>
  </si>
  <si>
    <t>+14407319044</t>
  </si>
  <si>
    <t>+18368500837</t>
  </si>
  <si>
    <t>+19333403357</t>
  </si>
  <si>
    <t>+15763709423</t>
  </si>
  <si>
    <t>+13369585428</t>
  </si>
  <si>
    <t>+17781943586</t>
  </si>
  <si>
    <t>+11499464504</t>
  </si>
  <si>
    <t>+14824971776</t>
  </si>
  <si>
    <t>+19562038487</t>
  </si>
  <si>
    <t>+12025312804</t>
  </si>
  <si>
    <t>+15969913937</t>
  </si>
  <si>
    <t>+15669058500</t>
  </si>
  <si>
    <t>+12505585827</t>
  </si>
  <si>
    <t>+17884599309</t>
  </si>
  <si>
    <t>+14161612484</t>
  </si>
  <si>
    <t>+17687332828</t>
  </si>
  <si>
    <t>+16833565103</t>
  </si>
  <si>
    <t>+12093207553</t>
  </si>
  <si>
    <t>+19006263931</t>
  </si>
  <si>
    <t>+18863506379</t>
  </si>
  <si>
    <t>+14233685954</t>
  </si>
  <si>
    <t>+18602460161</t>
  </si>
  <si>
    <t>+14718663488</t>
  </si>
  <si>
    <t>+18629916559</t>
  </si>
  <si>
    <t>+17386811402</t>
  </si>
  <si>
    <t>+17659036801</t>
  </si>
  <si>
    <t>+11761631158</t>
  </si>
  <si>
    <t>+19213851240</t>
  </si>
  <si>
    <t>+15702763278</t>
  </si>
  <si>
    <t>+13488151832</t>
  </si>
  <si>
    <t>+13912369421</t>
  </si>
  <si>
    <t>+18836083873</t>
  </si>
  <si>
    <t>+19502832066</t>
  </si>
  <si>
    <t>+17273606082</t>
  </si>
  <si>
    <t>+12862542891</t>
  </si>
  <si>
    <t>+19462217860</t>
  </si>
  <si>
    <t>+12266145146</t>
  </si>
  <si>
    <t>+17894874284</t>
  </si>
  <si>
    <t>+19420616664</t>
  </si>
  <si>
    <t>+16359711662</t>
  </si>
  <si>
    <t>+11845974789</t>
  </si>
  <si>
    <t>+14614152904</t>
  </si>
  <si>
    <t>+12157782573</t>
  </si>
  <si>
    <t>+15383633144</t>
  </si>
  <si>
    <t>+15498968986</t>
  </si>
  <si>
    <t>+17415484095</t>
  </si>
  <si>
    <t>+11995248858</t>
  </si>
  <si>
    <t>+15293416909</t>
  </si>
  <si>
    <t>+12933370632</t>
  </si>
  <si>
    <t>+16195245996</t>
  </si>
  <si>
    <t>+19546494482</t>
  </si>
  <si>
    <t>+19467999803</t>
  </si>
  <si>
    <t>+18225864977</t>
  </si>
  <si>
    <t>+18811487751</t>
  </si>
  <si>
    <t>+11336169728</t>
  </si>
  <si>
    <t>+14960812918</t>
  </si>
  <si>
    <t>+11774130231</t>
  </si>
  <si>
    <t>+14224421589</t>
  </si>
  <si>
    <t>+13035200029</t>
  </si>
  <si>
    <t>+19914896588</t>
  </si>
  <si>
    <t>+18779312809</t>
  </si>
  <si>
    <t>+19989757844</t>
  </si>
  <si>
    <t>+14558228470</t>
  </si>
  <si>
    <t>+17702285451</t>
  </si>
  <si>
    <t>+11203602649</t>
  </si>
  <si>
    <t>+18305163107</t>
  </si>
  <si>
    <t>+12536738957</t>
  </si>
  <si>
    <t>+11378548731</t>
  </si>
  <si>
    <t>+17375151740</t>
  </si>
  <si>
    <t>+13326316993</t>
  </si>
  <si>
    <t>+15113055104</t>
  </si>
  <si>
    <t>+12587501986</t>
  </si>
  <si>
    <t>+18545453261</t>
  </si>
  <si>
    <t>+15463925715</t>
  </si>
  <si>
    <t>+19376548213</t>
  </si>
  <si>
    <t>+13554178403</t>
  </si>
  <si>
    <t>+13319414468</t>
  </si>
  <si>
    <t>+12502701387</t>
  </si>
  <si>
    <t>+14375903324</t>
  </si>
  <si>
    <t>+17869483931</t>
  </si>
  <si>
    <t>+19696085307</t>
  </si>
  <si>
    <t>+18240551182</t>
  </si>
  <si>
    <t>+13138697648</t>
  </si>
  <si>
    <t>+14286397754</t>
  </si>
  <si>
    <t>+12171309655</t>
  </si>
  <si>
    <t>+12389369349</t>
  </si>
  <si>
    <t>+17006376584</t>
  </si>
  <si>
    <t>+16851378562</t>
  </si>
  <si>
    <t>+11881946624</t>
  </si>
  <si>
    <t>+14607642784</t>
  </si>
  <si>
    <t>+13326124130</t>
  </si>
  <si>
    <t>+17604155753</t>
  </si>
  <si>
    <t>+13091807726</t>
  </si>
  <si>
    <t>+14167645404</t>
  </si>
  <si>
    <t>+17505822681</t>
  </si>
  <si>
    <t>+19961815448</t>
  </si>
  <si>
    <t>+15954218040</t>
  </si>
  <si>
    <t>+11300159926</t>
  </si>
  <si>
    <t>+19357223136</t>
  </si>
  <si>
    <t>+17949956192</t>
  </si>
  <si>
    <t>+19383867801</t>
  </si>
  <si>
    <t>+11974922009</t>
  </si>
  <si>
    <t>+14182485501</t>
  </si>
  <si>
    <t>+12123365668</t>
  </si>
  <si>
    <t>+14415096771</t>
  </si>
  <si>
    <t>+16464777102</t>
  </si>
  <si>
    <t>+19974700331</t>
  </si>
  <si>
    <t>+18811573402</t>
  </si>
  <si>
    <t>+17793907768</t>
  </si>
  <si>
    <t>+11538962889</t>
  </si>
  <si>
    <t>+19331795645</t>
  </si>
  <si>
    <t>+16992089919</t>
  </si>
  <si>
    <t>+12185613906</t>
  </si>
  <si>
    <t>+19947568192</t>
  </si>
  <si>
    <t>+17971870242</t>
  </si>
  <si>
    <t>+18497238054</t>
  </si>
  <si>
    <t>+11445380724</t>
  </si>
  <si>
    <t>+19182452113</t>
  </si>
  <si>
    <t>+18005250087</t>
  </si>
  <si>
    <t>+11041212537</t>
  </si>
  <si>
    <t>+12962350544</t>
  </si>
  <si>
    <t>+16404547075</t>
  </si>
  <si>
    <t>+17132544487</t>
  </si>
  <si>
    <t>+16606858894</t>
  </si>
  <si>
    <t>+17103013497</t>
  </si>
  <si>
    <t>+12537475178</t>
  </si>
  <si>
    <t>+17930511594</t>
  </si>
  <si>
    <t>+18660036762</t>
  </si>
  <si>
    <t>+17718049195</t>
  </si>
  <si>
    <t>+13879330962</t>
  </si>
  <si>
    <t>+14873899056</t>
  </si>
  <si>
    <t>+11391177916</t>
  </si>
  <si>
    <t>+17578194668</t>
  </si>
  <si>
    <t>+16871517542</t>
  </si>
  <si>
    <t>+15200201475</t>
  </si>
  <si>
    <t>+17121078575</t>
  </si>
  <si>
    <t>+18986201567</t>
  </si>
  <si>
    <t>+18076393310</t>
  </si>
  <si>
    <t>+18238263412</t>
  </si>
  <si>
    <t>+19438021413</t>
  </si>
  <si>
    <t>+13133555424</t>
  </si>
  <si>
    <t>+17690807540</t>
  </si>
  <si>
    <t>+11383194378</t>
  </si>
  <si>
    <t>+19681944905</t>
  </si>
  <si>
    <t>+12831709015</t>
  </si>
  <si>
    <t>+16377533850</t>
  </si>
  <si>
    <t>+15871671336</t>
  </si>
  <si>
    <t>+19538738299</t>
  </si>
  <si>
    <t>+14218620450</t>
  </si>
  <si>
    <t>+14232570037</t>
  </si>
  <si>
    <t>+13191432260</t>
  </si>
  <si>
    <t>+14260861346</t>
  </si>
  <si>
    <t>+13977861957</t>
  </si>
  <si>
    <t>+14760315639</t>
  </si>
  <si>
    <t>+15482161775</t>
  </si>
  <si>
    <t>+16091101219</t>
  </si>
  <si>
    <t>+14856749440</t>
  </si>
  <si>
    <t>+19943341656</t>
  </si>
  <si>
    <t>+15636529911</t>
  </si>
  <si>
    <t>+16014167777</t>
  </si>
  <si>
    <t>+14841663196</t>
  </si>
  <si>
    <t>+18887543245</t>
  </si>
  <si>
    <t>+18082951000</t>
  </si>
  <si>
    <t>+13324599392</t>
  </si>
  <si>
    <t>+12124262686</t>
  </si>
  <si>
    <t>+16191480685</t>
  </si>
  <si>
    <t>+15589719566</t>
  </si>
  <si>
    <t>+12571829637</t>
  </si>
  <si>
    <t>+11531840152</t>
  </si>
  <si>
    <t>+16325263224</t>
  </si>
  <si>
    <t>+12852660793</t>
  </si>
  <si>
    <t>+11818709489</t>
  </si>
  <si>
    <t>+14615767996</t>
  </si>
  <si>
    <t>+19236544893</t>
  </si>
  <si>
    <t>+16230687386</t>
  </si>
  <si>
    <t>+12645758312</t>
  </si>
  <si>
    <t>+12299010100</t>
  </si>
  <si>
    <t>+15116611661</t>
  </si>
  <si>
    <t>+17786591648</t>
  </si>
  <si>
    <t>+19092450172</t>
  </si>
  <si>
    <t>+11492010068</t>
  </si>
  <si>
    <t>+13970280040</t>
  </si>
  <si>
    <t>+18986046969</t>
  </si>
  <si>
    <t>+11820079561</t>
  </si>
  <si>
    <t>+11064940990</t>
  </si>
  <si>
    <t>+14582496974</t>
  </si>
  <si>
    <t>+15044010218</t>
  </si>
  <si>
    <t>+18362639369</t>
  </si>
  <si>
    <t>+15720895481</t>
  </si>
  <si>
    <t>+15539865100</t>
  </si>
  <si>
    <t>+14829550432</t>
  </si>
  <si>
    <t>+17002807632</t>
  </si>
  <si>
    <t>+18079677629</t>
  </si>
  <si>
    <t>+12990663520</t>
  </si>
  <si>
    <t>+13854923363</t>
  </si>
  <si>
    <t>+16236427602</t>
  </si>
  <si>
    <t>+17896927727</t>
  </si>
  <si>
    <t>+13409483697</t>
  </si>
  <si>
    <t>+15209426527</t>
  </si>
  <si>
    <t>+17178482480</t>
  </si>
  <si>
    <t>+19910589082</t>
  </si>
  <si>
    <t>+12803527280</t>
  </si>
  <si>
    <t>+18098679417</t>
  </si>
  <si>
    <t>+18690740948</t>
  </si>
  <si>
    <t>+14732011083</t>
  </si>
  <si>
    <t>+19243038131</t>
  </si>
  <si>
    <t>+15118309868</t>
  </si>
  <si>
    <t>+15741198978</t>
  </si>
  <si>
    <t>+19966353865</t>
  </si>
  <si>
    <t>+13212810640</t>
  </si>
  <si>
    <t>+17676642456</t>
  </si>
  <si>
    <t>+11068194718</t>
  </si>
  <si>
    <t>+11074681126</t>
  </si>
  <si>
    <t>+14224596715</t>
  </si>
  <si>
    <t>+13700148362</t>
  </si>
  <si>
    <t>+16240453028</t>
  </si>
  <si>
    <t>+19875349721</t>
  </si>
  <si>
    <t>+18786904867</t>
  </si>
  <si>
    <t>+16132300623</t>
  </si>
  <si>
    <t>+14145142596</t>
  </si>
  <si>
    <t>+14440854032</t>
  </si>
  <si>
    <t>+12179832964</t>
  </si>
  <si>
    <t>+17682044832</t>
  </si>
  <si>
    <t>+15424226755</t>
  </si>
  <si>
    <t>+14983604899</t>
  </si>
  <si>
    <t>+16857352084</t>
  </si>
  <si>
    <t>+13602190273</t>
  </si>
  <si>
    <t>+13015964519</t>
  </si>
  <si>
    <t>+11475287570</t>
  </si>
  <si>
    <t>+15977604678</t>
  </si>
  <si>
    <t>+19108508628</t>
  </si>
  <si>
    <t>+15375571139</t>
  </si>
  <si>
    <t>+12659069617</t>
  </si>
  <si>
    <t>+18110719084</t>
  </si>
  <si>
    <t>+15381826298</t>
  </si>
  <si>
    <t>+12041168670</t>
  </si>
  <si>
    <t>+18871489183</t>
  </si>
  <si>
    <t>+12054027002</t>
  </si>
  <si>
    <t>+12681551949</t>
  </si>
  <si>
    <t>+13277673729</t>
  </si>
  <si>
    <t>+15181048673</t>
  </si>
  <si>
    <t>+16082006224</t>
  </si>
  <si>
    <t>+15658919901</t>
  </si>
  <si>
    <t>+11672543024</t>
  </si>
  <si>
    <t>+13395964564</t>
  </si>
  <si>
    <t>+15063820576</t>
  </si>
  <si>
    <t>+17503534489</t>
  </si>
  <si>
    <t>+15822239504</t>
  </si>
  <si>
    <t>+15845747849</t>
  </si>
  <si>
    <t>+11405898661</t>
  </si>
  <si>
    <t>+14851544518</t>
  </si>
  <si>
    <t>+17246443946</t>
  </si>
  <si>
    <t>+18574493191</t>
  </si>
  <si>
    <t>+12239279508</t>
  </si>
  <si>
    <t>+11527227856</t>
  </si>
  <si>
    <t>+15678208272</t>
  </si>
  <si>
    <t>+13646572167</t>
  </si>
  <si>
    <t>+14883517515</t>
  </si>
  <si>
    <t>+19207180101</t>
  </si>
  <si>
    <t>+11285706391</t>
  </si>
  <si>
    <t>+19369685999</t>
  </si>
  <si>
    <t>+16078146054</t>
  </si>
  <si>
    <t>+12155716199</t>
  </si>
  <si>
    <t>+13590950968</t>
  </si>
  <si>
    <t>+12129467509</t>
  </si>
  <si>
    <t>+11791767345</t>
  </si>
  <si>
    <t>+13261520773</t>
  </si>
  <si>
    <t>+13196360754</t>
  </si>
  <si>
    <t>+14444449804</t>
  </si>
  <si>
    <t>+15518069474</t>
  </si>
  <si>
    <t>+19609392773</t>
  </si>
  <si>
    <t>+16838135002</t>
  </si>
  <si>
    <t>+17905452844</t>
  </si>
  <si>
    <t>+19010250397</t>
  </si>
  <si>
    <t>+14743183219</t>
  </si>
  <si>
    <t>+13950053574</t>
  </si>
  <si>
    <t>+13100941879</t>
  </si>
  <si>
    <t>+11352878467</t>
  </si>
  <si>
    <t>+11955208397</t>
  </si>
  <si>
    <t>+15521833614</t>
  </si>
  <si>
    <t>+19922369779</t>
  </si>
  <si>
    <t>+12712883638</t>
  </si>
  <si>
    <t>+16795692129</t>
  </si>
  <si>
    <t>+11291813250</t>
  </si>
  <si>
    <t>+16613396584</t>
  </si>
  <si>
    <t>+15035456309</t>
  </si>
  <si>
    <t>+11164417808</t>
  </si>
  <si>
    <t>+11452174578</t>
  </si>
  <si>
    <t>+15602543569</t>
  </si>
  <si>
    <t>+12871955970</t>
  </si>
  <si>
    <t>+17276689284</t>
  </si>
  <si>
    <t>+14354237902</t>
  </si>
  <si>
    <t>+11715912825</t>
  </si>
  <si>
    <t>+11144662791</t>
  </si>
  <si>
    <t>+11203098296</t>
  </si>
  <si>
    <t>+14124659670</t>
  </si>
  <si>
    <t>+16684880981</t>
  </si>
  <si>
    <t>+14388208657</t>
  </si>
  <si>
    <t>+11921015884</t>
  </si>
  <si>
    <t>+12749897506</t>
  </si>
  <si>
    <t>+14221228748</t>
  </si>
  <si>
    <t>+16032712627</t>
  </si>
  <si>
    <t>+15241063928</t>
  </si>
  <si>
    <t>+15469387366</t>
  </si>
  <si>
    <t>+13961279886</t>
  </si>
  <si>
    <t>+11325815841</t>
  </si>
  <si>
    <t>+18178067310</t>
  </si>
  <si>
    <t>+13749856577</t>
  </si>
  <si>
    <t>+12861846228</t>
  </si>
  <si>
    <t>+18612327874</t>
  </si>
  <si>
    <t>+16416135619</t>
  </si>
  <si>
    <t>+19840390554</t>
  </si>
  <si>
    <t>+11205240079</t>
  </si>
  <si>
    <t>+17864429803</t>
  </si>
  <si>
    <t>+14784337488</t>
  </si>
  <si>
    <t>+17797930082</t>
  </si>
  <si>
    <t>+11378870573</t>
  </si>
  <si>
    <t>+17430641875</t>
  </si>
  <si>
    <t>+19894440067</t>
  </si>
  <si>
    <t>+17981032959</t>
  </si>
  <si>
    <t>+17904674250</t>
  </si>
  <si>
    <t>+17310910977</t>
  </si>
  <si>
    <t>+12903456270</t>
  </si>
  <si>
    <t>+12806145181</t>
  </si>
  <si>
    <t>+11706730335</t>
  </si>
  <si>
    <t>+13735299510</t>
  </si>
  <si>
    <t>+19042814144</t>
  </si>
  <si>
    <t>+12061220582</t>
  </si>
  <si>
    <t>+12252435669</t>
  </si>
  <si>
    <t>+14919297949</t>
  </si>
  <si>
    <t>+18973385777</t>
  </si>
  <si>
    <t>+14408326496</t>
  </si>
  <si>
    <t>+18351849263</t>
  </si>
  <si>
    <t>+19816455937</t>
  </si>
  <si>
    <t>+17869594037</t>
  </si>
  <si>
    <t>+13744123329</t>
  </si>
  <si>
    <t>+15322422698</t>
  </si>
  <si>
    <t>+19152157806</t>
  </si>
  <si>
    <t>+15941520165</t>
  </si>
  <si>
    <t>+13464485522</t>
  </si>
  <si>
    <t>+17907774745</t>
  </si>
  <si>
    <t>+15256969083</t>
  </si>
  <si>
    <t>+11576920134</t>
  </si>
  <si>
    <t>+11932082112</t>
  </si>
  <si>
    <t>+13281188617</t>
  </si>
  <si>
    <t>+13933147820</t>
  </si>
  <si>
    <t>+18850274818</t>
  </si>
  <si>
    <t>+17526203224</t>
  </si>
  <si>
    <t>+15112527916</t>
  </si>
  <si>
    <t>+18553134330</t>
  </si>
  <si>
    <t>+17253658644</t>
  </si>
  <si>
    <t>+14755555056</t>
  </si>
  <si>
    <t>+19551606444</t>
  </si>
  <si>
    <t>+11537744861</t>
  </si>
  <si>
    <t>+13702598401</t>
  </si>
  <si>
    <t>+19077073858</t>
  </si>
  <si>
    <t>+17556291086</t>
  </si>
  <si>
    <t>+14470639569</t>
  </si>
  <si>
    <t>+16985377924</t>
  </si>
  <si>
    <t>+11718687507</t>
  </si>
  <si>
    <t>+11881782644</t>
  </si>
  <si>
    <t>+19135645223</t>
  </si>
  <si>
    <t>+19257106917</t>
  </si>
  <si>
    <t>+15698554949</t>
  </si>
  <si>
    <t>+18272703101</t>
  </si>
  <si>
    <t>+11378517445</t>
  </si>
  <si>
    <t>+17750533425</t>
  </si>
  <si>
    <t>+14800361095</t>
  </si>
  <si>
    <t>+18508467346</t>
  </si>
  <si>
    <t>+15847527314</t>
  </si>
  <si>
    <t>+17917114338</t>
  </si>
  <si>
    <t>+12473998403</t>
  </si>
  <si>
    <t>+16862142696</t>
  </si>
  <si>
    <t>+18945188888</t>
  </si>
  <si>
    <t>+11725976219</t>
  </si>
  <si>
    <t>+13661186067</t>
  </si>
  <si>
    <t>+16735753065</t>
  </si>
  <si>
    <t>+18139211621</t>
  </si>
  <si>
    <t>+13326759531</t>
  </si>
  <si>
    <t>+15785259624</t>
  </si>
  <si>
    <t>+18663515877</t>
  </si>
  <si>
    <t>+13067415249</t>
  </si>
  <si>
    <t>+17886565257</t>
  </si>
  <si>
    <t>+18244197704</t>
  </si>
  <si>
    <t>+17213893599</t>
  </si>
  <si>
    <t>+18997077435</t>
  </si>
  <si>
    <t>+12545561181</t>
  </si>
  <si>
    <t>+18400685828</t>
  </si>
  <si>
    <t>+12670382100</t>
  </si>
  <si>
    <t>+17837827067</t>
  </si>
  <si>
    <t>+19660371834</t>
  </si>
  <si>
    <t>+11116989110</t>
  </si>
  <si>
    <t>+11681248094</t>
  </si>
  <si>
    <t>+16819512696</t>
  </si>
  <si>
    <t>+11903034078</t>
  </si>
  <si>
    <t>+12709641919</t>
  </si>
  <si>
    <t>+13377490787</t>
  </si>
  <si>
    <t>+15461532681</t>
  </si>
  <si>
    <t>+11687767503</t>
  </si>
  <si>
    <t>+11380878720</t>
  </si>
  <si>
    <t>+18978189424</t>
  </si>
  <si>
    <t>+12993995093</t>
  </si>
  <si>
    <t>+13902397045</t>
  </si>
  <si>
    <t>+14400919917</t>
  </si>
  <si>
    <t>+14836589412</t>
  </si>
  <si>
    <t>+18448166067</t>
  </si>
  <si>
    <t>+13666706756</t>
  </si>
  <si>
    <t>+14664120701</t>
  </si>
  <si>
    <t>+18586366528</t>
  </si>
  <si>
    <t>+17929270295</t>
  </si>
  <si>
    <t>+18235454481</t>
  </si>
  <si>
    <t>+12643127846</t>
  </si>
  <si>
    <t>+13173707249</t>
  </si>
  <si>
    <t>+15419397831</t>
  </si>
  <si>
    <t>+19771379485</t>
  </si>
  <si>
    <t>+14846576366</t>
  </si>
  <si>
    <t>+17931882436</t>
  </si>
  <si>
    <t>+15530454801</t>
  </si>
  <si>
    <t>+14506046508</t>
  </si>
  <si>
    <t>+16408758447</t>
  </si>
  <si>
    <t>+11598602624</t>
  </si>
  <si>
    <t>+15468360408</t>
  </si>
  <si>
    <t>+14294375526</t>
  </si>
  <si>
    <t>+16632748593</t>
  </si>
  <si>
    <t>+13076915735</t>
  </si>
  <si>
    <t>+19195233981</t>
  </si>
  <si>
    <t>+19132005571</t>
  </si>
  <si>
    <t>+15695280644</t>
  </si>
  <si>
    <t>+13220449332</t>
  </si>
  <si>
    <t>+19192857003</t>
  </si>
  <si>
    <t>+16528734704</t>
  </si>
  <si>
    <t>+16719320350</t>
  </si>
  <si>
    <t>+14088774162</t>
  </si>
  <si>
    <t>+15182356849</t>
  </si>
  <si>
    <t>+17638855101</t>
  </si>
  <si>
    <t>+15735923841</t>
  </si>
  <si>
    <t>+14186101161</t>
  </si>
  <si>
    <t>+17280899090</t>
  </si>
  <si>
    <t>+12109030523</t>
  </si>
  <si>
    <t>+16692121008</t>
  </si>
  <si>
    <t>+19365457524</t>
  </si>
  <si>
    <t>+19088692416</t>
  </si>
  <si>
    <t>+18877873257</t>
  </si>
  <si>
    <t>+14493438793</t>
  </si>
  <si>
    <t>+11539103417</t>
  </si>
  <si>
    <t>+18475919969</t>
  </si>
  <si>
    <t>+11303622527</t>
  </si>
  <si>
    <t>+11602692571</t>
  </si>
  <si>
    <t>+15697888208</t>
  </si>
  <si>
    <t>+15333758558</t>
  </si>
  <si>
    <t>+15285179951</t>
  </si>
  <si>
    <t>+15835110399</t>
  </si>
  <si>
    <t>+14608219485</t>
  </si>
  <si>
    <t>+11293440885</t>
  </si>
  <si>
    <t>+15029263283</t>
  </si>
  <si>
    <t>+17763542046</t>
  </si>
  <si>
    <t>+16604510094</t>
  </si>
  <si>
    <t>+17674566737</t>
  </si>
  <si>
    <t>+11801952211</t>
  </si>
  <si>
    <t>+12220398678</t>
  </si>
  <si>
    <t>+16733961340</t>
  </si>
  <si>
    <t>+16569161184</t>
  </si>
  <si>
    <t>+14347179583</t>
  </si>
  <si>
    <t>+19742708115</t>
  </si>
  <si>
    <t>+13340046142</t>
  </si>
  <si>
    <t>+19030534117</t>
  </si>
  <si>
    <t>+11484604753</t>
  </si>
  <si>
    <t>+19309738889</t>
  </si>
  <si>
    <t>+17143312999</t>
  </si>
  <si>
    <t>+17148571344</t>
  </si>
  <si>
    <t>+17404391113</t>
  </si>
  <si>
    <t>+17058792825</t>
  </si>
  <si>
    <t>+14574682249</t>
  </si>
  <si>
    <t>+17620420910</t>
  </si>
  <si>
    <t>+18983641592</t>
  </si>
  <si>
    <t>+15809561263</t>
  </si>
  <si>
    <t>+11442070545</t>
  </si>
  <si>
    <t>+18511662213</t>
  </si>
  <si>
    <t>+14870056920</t>
  </si>
  <si>
    <t>+11582411228</t>
  </si>
  <si>
    <t>+16596268898</t>
  </si>
  <si>
    <t>+13655538776</t>
  </si>
  <si>
    <t>+14474611347</t>
  </si>
  <si>
    <t>+11896187521</t>
  </si>
  <si>
    <t>+16921848515</t>
  </si>
  <si>
    <t>+18361327316</t>
  </si>
  <si>
    <t>+15838904590</t>
  </si>
  <si>
    <t>+17707467952</t>
  </si>
  <si>
    <t>+19591744265</t>
  </si>
  <si>
    <t>+14266948549</t>
  </si>
  <si>
    <t>+15979708540</t>
  </si>
  <si>
    <t>+13721877573</t>
  </si>
  <si>
    <t>+11727226013</t>
  </si>
  <si>
    <t>+19814591087</t>
  </si>
  <si>
    <t>+11257243302</t>
  </si>
  <si>
    <t>+17066424535</t>
  </si>
  <si>
    <t>+14266197533</t>
  </si>
  <si>
    <t>+18927557868</t>
  </si>
  <si>
    <t>+18264904302</t>
  </si>
  <si>
    <t>+11088929971</t>
  </si>
  <si>
    <t>+17865528040</t>
  </si>
  <si>
    <t>+12175487517</t>
  </si>
  <si>
    <t>+18098143046</t>
  </si>
  <si>
    <t>+13857998377</t>
  </si>
  <si>
    <t>+15896853064</t>
  </si>
  <si>
    <t>+17214200323</t>
  </si>
  <si>
    <t>+14994216654</t>
  </si>
  <si>
    <t>+14613036115</t>
  </si>
  <si>
    <t>+14685098281</t>
  </si>
  <si>
    <t>+17936821897</t>
  </si>
  <si>
    <t>+11813575952</t>
  </si>
  <si>
    <t>+12489342308</t>
  </si>
  <si>
    <t>+19835375756</t>
  </si>
  <si>
    <t>+15798599620</t>
  </si>
  <si>
    <t>+12902080567</t>
  </si>
  <si>
    <t>+18578719154</t>
  </si>
  <si>
    <t>+15144584220</t>
  </si>
  <si>
    <t>+18243486533</t>
  </si>
  <si>
    <t>+11731506396</t>
  </si>
  <si>
    <t>+12624619120</t>
  </si>
  <si>
    <t>+14154989651</t>
  </si>
  <si>
    <t>+19196489881</t>
  </si>
  <si>
    <t>+17969271346</t>
  </si>
  <si>
    <t>+17747692749</t>
  </si>
  <si>
    <t>+13409985190</t>
  </si>
  <si>
    <t>+11578618733</t>
  </si>
  <si>
    <t>+14220925213</t>
  </si>
  <si>
    <t>+15547109632</t>
  </si>
  <si>
    <t>+16249329522</t>
  </si>
  <si>
    <t>+16352652226</t>
  </si>
  <si>
    <t>+14865504582</t>
  </si>
  <si>
    <t>+12183680785</t>
  </si>
  <si>
    <t>+18004989089</t>
  </si>
  <si>
    <t>+11795492643</t>
  </si>
  <si>
    <t>+17414380971</t>
  </si>
  <si>
    <t>+19651947411</t>
  </si>
  <si>
    <t>+18378400201</t>
  </si>
  <si>
    <t>+15332218676</t>
  </si>
  <si>
    <t>+18869007314</t>
  </si>
  <si>
    <t>+16085686860</t>
  </si>
  <si>
    <t>+13014585087</t>
  </si>
  <si>
    <t>+11934066365</t>
  </si>
  <si>
    <t>+13909480518</t>
  </si>
  <si>
    <t>+13370037642</t>
  </si>
  <si>
    <t>+17860912589</t>
  </si>
  <si>
    <t>+14418031041</t>
  </si>
  <si>
    <t>+12210635289</t>
  </si>
  <si>
    <t>+19600820813</t>
  </si>
  <si>
    <t>+13334761258</t>
  </si>
  <si>
    <t>+13420961791</t>
  </si>
  <si>
    <t>+16452718589</t>
  </si>
  <si>
    <t>+17577178795</t>
  </si>
  <si>
    <t>+15657735774</t>
  </si>
  <si>
    <t>+14295451437</t>
  </si>
  <si>
    <t>+11240660084</t>
  </si>
  <si>
    <t>+13668752215</t>
  </si>
  <si>
    <t>+16645271095</t>
  </si>
  <si>
    <t>+11810224972</t>
  </si>
  <si>
    <t>+14039824616</t>
  </si>
  <si>
    <t>+13918750871</t>
  </si>
  <si>
    <t>+11031028672</t>
  </si>
  <si>
    <t>+13680996791</t>
  </si>
  <si>
    <t>+12921659634</t>
  </si>
  <si>
    <t>+11451897563</t>
  </si>
  <si>
    <t>+18757638798</t>
  </si>
  <si>
    <t>+14420436946</t>
  </si>
  <si>
    <t>+13159149690</t>
  </si>
  <si>
    <t>+15972578441</t>
  </si>
  <si>
    <t>+19052761419</t>
  </si>
  <si>
    <t>+19859585838</t>
  </si>
  <si>
    <t>+18973745132</t>
  </si>
  <si>
    <t>+15711721242</t>
  </si>
  <si>
    <t>+18398834656</t>
  </si>
  <si>
    <t>+18444737280</t>
  </si>
  <si>
    <t>+12705909890</t>
  </si>
  <si>
    <t>+18205586188</t>
  </si>
  <si>
    <t>+14171007354</t>
  </si>
  <si>
    <t>+16661113669</t>
  </si>
  <si>
    <t>+13295132131</t>
  </si>
  <si>
    <t>+18822422569</t>
  </si>
  <si>
    <t>+12283986762</t>
  </si>
  <si>
    <t>+19002915437</t>
  </si>
  <si>
    <t>+17385771451</t>
  </si>
  <si>
    <t>+13135076407</t>
  </si>
  <si>
    <t>+12960165928</t>
  </si>
  <si>
    <t>+12719345152</t>
  </si>
  <si>
    <t>+13763604571</t>
  </si>
  <si>
    <t>+15905140473</t>
  </si>
  <si>
    <t>+16584415504</t>
  </si>
  <si>
    <t>+13322459214</t>
  </si>
  <si>
    <t>+15193408550</t>
  </si>
  <si>
    <t>+12418797523</t>
  </si>
  <si>
    <t>+11839478106</t>
  </si>
  <si>
    <t>+18624072030</t>
  </si>
  <si>
    <t>+11150020000</t>
  </si>
  <si>
    <t>+11846919728</t>
  </si>
  <si>
    <t>+14878443425</t>
  </si>
  <si>
    <t>+19824828204</t>
  </si>
  <si>
    <t>+18287370033</t>
  </si>
  <si>
    <t>+12163399957</t>
  </si>
  <si>
    <t>+16661977837</t>
  </si>
  <si>
    <t>+15078693885</t>
  </si>
  <si>
    <t>+14505844663</t>
  </si>
  <si>
    <t>+19774678511</t>
  </si>
  <si>
    <t>+19061575552</t>
  </si>
  <si>
    <t>+17148057769</t>
  </si>
  <si>
    <t>+14809413615</t>
  </si>
  <si>
    <t>+13373855516</t>
  </si>
  <si>
    <t>+16368844774</t>
  </si>
  <si>
    <t>+12873036814</t>
  </si>
  <si>
    <t>+16402821428</t>
  </si>
  <si>
    <t>+13281858352</t>
  </si>
  <si>
    <t>+14136356936</t>
  </si>
  <si>
    <t>+18457520408</t>
  </si>
  <si>
    <t>+16797397735</t>
  </si>
  <si>
    <t>+15524349868</t>
  </si>
  <si>
    <t>+15834023823</t>
  </si>
  <si>
    <t>+12997912543</t>
  </si>
  <si>
    <t>+16472704462</t>
  </si>
  <si>
    <t>+17427514822</t>
  </si>
  <si>
    <t>+18388101606</t>
  </si>
  <si>
    <t>+15810181456</t>
  </si>
  <si>
    <t>+18415975087</t>
  </si>
  <si>
    <t>+15784799314</t>
  </si>
  <si>
    <t>+19894306751</t>
  </si>
  <si>
    <t>+16055683531</t>
  </si>
  <si>
    <t>+19817052872</t>
  </si>
  <si>
    <t>+15340715829</t>
  </si>
  <si>
    <t>+11848871806</t>
  </si>
  <si>
    <t>+15488256359</t>
  </si>
  <si>
    <t>+12292885660</t>
  </si>
  <si>
    <t>+16180727797</t>
  </si>
  <si>
    <t>+11535506219</t>
  </si>
  <si>
    <t>+11165271066</t>
  </si>
  <si>
    <t>+19803959757</t>
  </si>
  <si>
    <t>+13080415742</t>
  </si>
  <si>
    <t>+15716384816</t>
  </si>
  <si>
    <t>+12655941841</t>
  </si>
  <si>
    <t>+13100377207</t>
  </si>
  <si>
    <t>+14497586478</t>
  </si>
  <si>
    <t>+14657126403</t>
  </si>
  <si>
    <t>+15874619886</t>
  </si>
  <si>
    <t>+13730523530</t>
  </si>
  <si>
    <t>+12372885389</t>
  </si>
  <si>
    <t>+15759138092</t>
  </si>
  <si>
    <t>+15408482484</t>
  </si>
  <si>
    <t>+19288552675</t>
  </si>
  <si>
    <t>+18422421861</t>
  </si>
  <si>
    <t>+16287731388</t>
  </si>
  <si>
    <t>+19624906805</t>
  </si>
  <si>
    <t>+17225390282</t>
  </si>
  <si>
    <t>+16292451737</t>
  </si>
  <si>
    <t>+11303294306</t>
  </si>
  <si>
    <t>+19653471672</t>
  </si>
  <si>
    <t>+15601769147</t>
  </si>
  <si>
    <t>+16473681913</t>
  </si>
  <si>
    <t>+16360579563</t>
  </si>
  <si>
    <t>+12105981589</t>
  </si>
  <si>
    <t>+13216507078</t>
  </si>
  <si>
    <t>+13403119951</t>
  </si>
  <si>
    <t>+19047307744</t>
  </si>
  <si>
    <t>+19422531305</t>
  </si>
  <si>
    <t>+15480262061</t>
  </si>
  <si>
    <t>+16129801960</t>
  </si>
  <si>
    <t>+19778519752</t>
  </si>
  <si>
    <t>+18865493792</t>
  </si>
  <si>
    <t>+12439650913</t>
  </si>
  <si>
    <t>+14684631520</t>
  </si>
  <si>
    <t>+12246436940</t>
  </si>
  <si>
    <t>+19892830928</t>
  </si>
  <si>
    <t>+16949502386</t>
  </si>
  <si>
    <t>+17150941729</t>
  </si>
  <si>
    <t>+11306239217</t>
  </si>
  <si>
    <t>+17025509792</t>
  </si>
  <si>
    <t>+11627680577</t>
  </si>
  <si>
    <t>+16544132232</t>
  </si>
  <si>
    <t>+15049279922</t>
  </si>
  <si>
    <t>+15550886361</t>
  </si>
  <si>
    <t>+15647229386</t>
  </si>
  <si>
    <t>+17141154625</t>
  </si>
  <si>
    <t>+12025136832</t>
  </si>
  <si>
    <t>+11773972218</t>
  </si>
  <si>
    <t>+16238140627</t>
  </si>
  <si>
    <t>+18384912887</t>
  </si>
  <si>
    <t>+12596787917</t>
  </si>
  <si>
    <t>+16589475947</t>
  </si>
  <si>
    <t>+16902307064</t>
  </si>
  <si>
    <t>+12855317926</t>
  </si>
  <si>
    <t>+12364622788</t>
  </si>
  <si>
    <t>+11733530749</t>
  </si>
  <si>
    <t>+16710405578</t>
  </si>
  <si>
    <t>+14162663788</t>
  </si>
  <si>
    <t>+13261678744</t>
  </si>
  <si>
    <t>+12801360900</t>
  </si>
  <si>
    <t>+18701697454</t>
  </si>
  <si>
    <t>+12383843319</t>
  </si>
  <si>
    <t>+18399958279</t>
  </si>
  <si>
    <t>+14743851756</t>
  </si>
  <si>
    <t>+18785395007</t>
  </si>
  <si>
    <t>+18008799774</t>
  </si>
  <si>
    <t>+16085063278</t>
  </si>
  <si>
    <t>+13990368932</t>
  </si>
  <si>
    <t>+11474903021</t>
  </si>
  <si>
    <t>+11181554629</t>
  </si>
  <si>
    <t>+13248526385</t>
  </si>
  <si>
    <t>+19932222885</t>
  </si>
  <si>
    <t>+11414857357</t>
  </si>
  <si>
    <t>+19745500086</t>
  </si>
  <si>
    <t>+19224174084</t>
  </si>
  <si>
    <t>+18425725761</t>
  </si>
  <si>
    <t>+19979877084</t>
  </si>
  <si>
    <t>+12959364876</t>
  </si>
  <si>
    <t>+15038139641</t>
  </si>
  <si>
    <t>+12124889026</t>
  </si>
  <si>
    <t>+11848506723</t>
  </si>
  <si>
    <t>+18015943361</t>
  </si>
  <si>
    <t>+18912041292</t>
  </si>
  <si>
    <t>+13315813740</t>
  </si>
  <si>
    <t>+16324453074</t>
  </si>
  <si>
    <t>+19224325289</t>
  </si>
  <si>
    <t>+11996472639</t>
  </si>
  <si>
    <t>+12408901413</t>
  </si>
  <si>
    <t>+13633696880</t>
  </si>
  <si>
    <t>+16665259656</t>
  </si>
  <si>
    <t>+16281777248</t>
  </si>
  <si>
    <t>+14821671845</t>
  </si>
  <si>
    <t>+19521858263</t>
  </si>
  <si>
    <t>+16940497595</t>
  </si>
  <si>
    <t>+14826079366</t>
  </si>
  <si>
    <t>+13421454771</t>
  </si>
  <si>
    <t>+15224009797</t>
  </si>
  <si>
    <t>+11736096191</t>
  </si>
  <si>
    <t>+17750515690</t>
  </si>
  <si>
    <t>+17809886971</t>
  </si>
  <si>
    <t>+15507398488</t>
  </si>
  <si>
    <t>+13067248433</t>
  </si>
  <si>
    <t>+19063484710</t>
  </si>
  <si>
    <t>+12671276124</t>
  </si>
  <si>
    <t>+11619033967</t>
  </si>
  <si>
    <t>+16008660363</t>
  </si>
  <si>
    <t>+16658557669</t>
  </si>
  <si>
    <t>+13784990184</t>
  </si>
  <si>
    <t>+15258491523</t>
  </si>
  <si>
    <t>+14250442639</t>
  </si>
  <si>
    <t>+11130239605</t>
  </si>
  <si>
    <t>+13284447120</t>
  </si>
  <si>
    <t>+18522252384</t>
  </si>
  <si>
    <t>+16240943577</t>
  </si>
  <si>
    <t>+16397849017</t>
  </si>
  <si>
    <t>+19100048467</t>
  </si>
  <si>
    <t>+14866122170</t>
  </si>
  <si>
    <t>+14198395734</t>
  </si>
  <si>
    <t>+14808144645</t>
  </si>
  <si>
    <t>+17707944653</t>
  </si>
  <si>
    <t>+11396358282</t>
  </si>
  <si>
    <t>+14233443779</t>
  </si>
  <si>
    <t>+13712115435</t>
  </si>
  <si>
    <t>+19817148536</t>
  </si>
  <si>
    <t>+13047241071</t>
  </si>
  <si>
    <t>+16743438406</t>
  </si>
  <si>
    <t>+13985108539</t>
  </si>
  <si>
    <t>+12886557920</t>
  </si>
  <si>
    <t>+16181093203</t>
  </si>
  <si>
    <t>+11488987793</t>
  </si>
  <si>
    <t>+14471541114</t>
  </si>
  <si>
    <t>+16537913892</t>
  </si>
  <si>
    <t>+18276851336</t>
  </si>
  <si>
    <t>+15546032280</t>
  </si>
  <si>
    <t>+18483328041</t>
  </si>
  <si>
    <t>+14170704749</t>
  </si>
  <si>
    <t>+12016813322</t>
  </si>
  <si>
    <t>+19441963056</t>
  </si>
  <si>
    <t>+12625565324</t>
  </si>
  <si>
    <t>+19197948820</t>
  </si>
  <si>
    <t>+11993015065</t>
  </si>
  <si>
    <t>+14409858641</t>
  </si>
  <si>
    <t>+14834676743</t>
  </si>
  <si>
    <t>+17486375387</t>
  </si>
  <si>
    <t>+12355780382</t>
  </si>
  <si>
    <t>+14702426709</t>
  </si>
  <si>
    <t>+16751496102</t>
  </si>
  <si>
    <t>+16797570147</t>
  </si>
  <si>
    <t>+19879360244</t>
  </si>
  <si>
    <t>+11925750347</t>
  </si>
  <si>
    <t>+16166873234</t>
  </si>
  <si>
    <t>+19140412298</t>
  </si>
  <si>
    <t>+15227101376</t>
  </si>
  <si>
    <t>+11428248736</t>
  </si>
  <si>
    <t>+17955719620</t>
  </si>
  <si>
    <t>+16031963571</t>
  </si>
  <si>
    <t>+18901514450</t>
  </si>
  <si>
    <t>+15836736154</t>
  </si>
  <si>
    <t>+15229108255</t>
  </si>
  <si>
    <t>+17763281748</t>
  </si>
  <si>
    <t>+16131253366</t>
  </si>
  <si>
    <t>+12637749605</t>
  </si>
  <si>
    <t>+17542249666</t>
  </si>
  <si>
    <t>+17618099477</t>
  </si>
  <si>
    <t>+13599035255</t>
  </si>
  <si>
    <t>+12660649375</t>
  </si>
  <si>
    <t>+16626712904</t>
  </si>
  <si>
    <t>+11152811007</t>
  </si>
  <si>
    <t>+18512232702</t>
  </si>
  <si>
    <t>+13215381686</t>
  </si>
  <si>
    <t>+19428496268</t>
  </si>
  <si>
    <t>+13806049642</t>
  </si>
  <si>
    <t>+16137099132</t>
  </si>
  <si>
    <t>+15864828774</t>
  </si>
  <si>
    <t>+17860532540</t>
  </si>
  <si>
    <t>+14725872994</t>
  </si>
  <si>
    <t>+17226461880</t>
  </si>
  <si>
    <t>+13986053824</t>
  </si>
  <si>
    <t>+11517724916</t>
  </si>
  <si>
    <t>+15165342930</t>
  </si>
  <si>
    <t>+15400558203</t>
  </si>
  <si>
    <t>+12345565046</t>
  </si>
  <si>
    <t>Other</t>
  </si>
  <si>
    <t>Female</t>
  </si>
  <si>
    <t>Male</t>
  </si>
  <si>
    <t>Australia</t>
  </si>
  <si>
    <t>Canada</t>
  </si>
  <si>
    <t>India</t>
  </si>
  <si>
    <t>USA</t>
  </si>
  <si>
    <t>UK</t>
  </si>
  <si>
    <t>London</t>
  </si>
  <si>
    <t>Toronto</t>
  </si>
  <si>
    <t>New York</t>
  </si>
  <si>
    <t>Mumbai</t>
  </si>
  <si>
    <t>Sydney</t>
  </si>
  <si>
    <t>Pending</t>
  </si>
  <si>
    <t>Active</t>
  </si>
  <si>
    <t>Inactive</t>
  </si>
  <si>
    <t>Sum of Annual Income</t>
  </si>
  <si>
    <t>Average of annual Income</t>
  </si>
  <si>
    <t>Max Age</t>
  </si>
  <si>
    <t>Min Age</t>
  </si>
  <si>
    <t>Active Subscription</t>
  </si>
  <si>
    <t>Row Labels</t>
  </si>
  <si>
    <t>Grand Total</t>
  </si>
  <si>
    <t>Total Customers</t>
  </si>
  <si>
    <t>Average Age</t>
  </si>
  <si>
    <t>Total Annual Income</t>
  </si>
  <si>
    <t>Total Active Subscription</t>
  </si>
  <si>
    <t>Count</t>
  </si>
  <si>
    <t xml:space="preserve"> </t>
  </si>
  <si>
    <t xml:space="preserve">       </t>
  </si>
  <si>
    <t>2023</t>
  </si>
  <si>
    <t>2024</t>
  </si>
  <si>
    <t>Sum of PurchaseHistory</t>
  </si>
  <si>
    <t>Qtr1</t>
  </si>
  <si>
    <t>Qtr2</t>
  </si>
  <si>
    <t>Qtr3</t>
  </si>
  <si>
    <t>Qtr4</t>
  </si>
  <si>
    <t>OVERALL STATUS</t>
  </si>
  <si>
    <t>CUSTOMER DATA ANALYTICS DASHBOARD</t>
  </si>
  <si>
    <t>TOTAL CUSTOMERS</t>
  </si>
  <si>
    <t>AVERAGE AGE</t>
  </si>
  <si>
    <t>TOTAL ANNUAL INCOME</t>
  </si>
  <si>
    <t>TOTAL ACTIVE SUBSCRIPTION</t>
  </si>
  <si>
    <t>GENDER DISTRIBUTION</t>
  </si>
  <si>
    <t>Customer Distribution by City</t>
  </si>
  <si>
    <t>Purchase History Over Time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</si>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</sst>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\ hh:mm:ss"/>
    <numFmt numFmtId="168" formatCode="&quot;$&quot;#,##0.00"/>
    <numFmt numFmtId="169" formatCode="_-&quot;$&quot;* #,##0.00_-;\-&quot;$&quot;* #,##0.00_-;_-&quot;$&quot;* &quot;-&quot;??_-;_-@_-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entury Gothic"/>
      <family val="1"/>
    </font>
    <font>
      <sz val="12"/>
      <color indexed="8"/>
      <name val="Century Gothic"/>
      <family val="1"/>
    </font>
    <font>
      <sz val="20"/>
      <color theme="1"/>
      <name val="Century Gothic"/>
      <family val="1"/>
    </font>
    <font>
      <sz val="18"/>
      <color theme="1"/>
      <name val="Century Gothic"/>
      <family val="1"/>
    </font>
    <font>
      <sz val="30"/>
      <color theme="1"/>
      <name val="Century Gothic"/>
      <family val="1"/>
    </font>
    <font>
      <sz val="10"/>
      <color theme="1"/>
      <name val="Century Gothic"/>
      <family val="1"/>
    </font>
    <font>
      <b/>
      <sz val="22"/>
      <color theme="0"/>
      <name val="Century Gothic"/>
      <family val="2"/>
    </font>
    <font>
      <b/>
      <sz val="20"/>
      <color theme="1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3B418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Dashed">
        <color theme="0" tint="-0.249977111117893"/>
      </top>
      <bottom/>
      <diagonal/>
    </border>
    <border>
      <left style="thick">
        <color rgb="FF60CDDD"/>
      </left>
      <right/>
      <top/>
      <bottom/>
      <diagonal/>
    </border>
    <border>
      <left style="thick">
        <color rgb="FF00A500"/>
      </left>
      <right/>
      <top/>
      <bottom/>
      <diagonal/>
    </border>
    <border>
      <left style="thick">
        <color theme="7"/>
      </left>
      <right/>
      <top/>
      <bottom/>
      <diagonal/>
    </border>
    <border>
      <left/>
      <right/>
      <top/>
      <bottom style="hair">
        <color theme="7" tint="0.39997558519241921"/>
      </bottom>
      <diagonal/>
    </border>
    <border>
      <left style="thick">
        <color theme="7"/>
      </left>
      <right/>
      <top/>
      <bottom style="hair">
        <color theme="7" tint="0.39997558519241921"/>
      </bottom>
      <diagonal/>
    </border>
    <border>
      <left/>
      <right/>
      <top style="hair">
        <color theme="7" tint="0.39997558519241921"/>
      </top>
      <bottom/>
      <diagonal/>
    </border>
    <border>
      <left style="thick">
        <color theme="7"/>
      </left>
      <right/>
      <top style="hair">
        <color theme="7" tint="0.39997558519241921"/>
      </top>
      <bottom/>
      <diagonal/>
    </border>
  </borders>
  <cellStyleXfs count="4">
    <xf numFmtId="0" fontId="0" fillId="0" borderId="0"/>
    <xf numFmtId="0" fontId="2" fillId="0" borderId="0"/>
    <xf numFmtId="169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3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2" borderId="0" xfId="0" applyFill="1"/>
    <xf numFmtId="0" fontId="1" fillId="2" borderId="0" xfId="0" applyFont="1" applyFill="1"/>
    <xf numFmtId="14" fontId="0" fillId="0" borderId="0" xfId="0" applyNumberFormat="1"/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 applyFont="1"/>
    <xf numFmtId="0" fontId="0" fillId="0" borderId="0" xfId="0" applyAlignment="1">
      <alignment horizontal="left" indent="1"/>
    </xf>
    <xf numFmtId="0" fontId="3" fillId="0" borderId="0" xfId="1" applyFont="1"/>
    <xf numFmtId="168" fontId="3" fillId="3" borderId="0" xfId="1" applyNumberFormat="1" applyFont="1" applyFill="1" applyAlignment="1">
      <alignment horizontal="center" vertical="center"/>
    </xf>
    <xf numFmtId="0" fontId="4" fillId="0" borderId="0" xfId="1" applyFont="1"/>
    <xf numFmtId="0" fontId="3" fillId="0" borderId="0" xfId="1" applyFont="1" applyAlignment="1">
      <alignment vertical="top"/>
    </xf>
    <xf numFmtId="0" fontId="3" fillId="0" borderId="2" xfId="1" applyFont="1" applyBorder="1" applyAlignment="1">
      <alignment vertical="top"/>
    </xf>
    <xf numFmtId="0" fontId="5" fillId="0" borderId="0" xfId="1" applyFont="1" applyAlignment="1">
      <alignment vertical="center"/>
    </xf>
    <xf numFmtId="0" fontId="5" fillId="0" borderId="3" xfId="1" applyFont="1" applyBorder="1" applyAlignment="1">
      <alignment horizontal="left" vertical="center" indent="1"/>
    </xf>
    <xf numFmtId="0" fontId="3" fillId="0" borderId="4" xfId="1" applyFont="1" applyBorder="1"/>
    <xf numFmtId="0" fontId="6" fillId="0" borderId="7" xfId="1" applyFont="1" applyBorder="1" applyAlignment="1">
      <alignment horizontal="left" vertical="center" indent="1"/>
    </xf>
    <xf numFmtId="0" fontId="5" fillId="0" borderId="0" xfId="1" applyFont="1" applyAlignment="1">
      <alignment vertical="top"/>
    </xf>
    <xf numFmtId="0" fontId="8" fillId="0" borderId="0" xfId="1" applyFont="1" applyAlignment="1">
      <alignment wrapText="1"/>
    </xf>
    <xf numFmtId="0" fontId="8" fillId="3" borderId="0" xfId="1" applyFont="1" applyFill="1" applyAlignment="1">
      <alignment wrapText="1"/>
    </xf>
    <xf numFmtId="0" fontId="7" fillId="0" borderId="6" xfId="3" applyNumberFormat="1" applyFont="1" applyBorder="1" applyAlignment="1">
      <alignment horizontal="center" vertical="center"/>
    </xf>
    <xf numFmtId="0" fontId="0" fillId="0" borderId="0" xfId="0" applyAlignment="1">
      <alignment horizontal="left" indent="2"/>
    </xf>
    <xf numFmtId="0" fontId="9" fillId="4" borderId="0" xfId="1" applyFont="1" applyFill="1" applyAlignment="1">
      <alignment horizontal="center" vertical="center"/>
    </xf>
    <xf numFmtId="0" fontId="10" fillId="0" borderId="3" xfId="1" applyFont="1" applyBorder="1" applyAlignment="1">
      <alignment horizontal="left" vertical="center" indent="1"/>
    </xf>
    <xf numFmtId="0" fontId="3" fillId="0" borderId="0" xfId="1" applyFont="1" applyBorder="1"/>
    <xf numFmtId="0" fontId="3" fillId="0" borderId="0" xfId="1" applyFont="1" applyBorder="1" applyAlignment="1">
      <alignment vertical="top"/>
    </xf>
    <xf numFmtId="0" fontId="10" fillId="0" borderId="5" xfId="1" applyFont="1" applyBorder="1" applyAlignment="1">
      <alignment horizontal="left" vertical="center" indent="1"/>
    </xf>
    <xf numFmtId="0" fontId="6" fillId="0" borderId="9" xfId="1" applyFont="1" applyBorder="1" applyAlignment="1">
      <alignment horizontal="left" vertical="center"/>
    </xf>
    <xf numFmtId="0" fontId="6" fillId="0" borderId="7" xfId="1" applyFont="1" applyBorder="1" applyAlignment="1">
      <alignment horizontal="left" vertical="center"/>
    </xf>
    <xf numFmtId="0" fontId="6" fillId="0" borderId="5" xfId="1" applyFont="1" applyBorder="1" applyAlignment="1">
      <alignment horizontal="left" vertical="center"/>
    </xf>
    <xf numFmtId="0" fontId="7" fillId="0" borderId="6" xfId="3" applyNumberFormat="1" applyFont="1" applyBorder="1" applyAlignment="1">
      <alignment horizontal="center" vertical="center"/>
    </xf>
    <xf numFmtId="0" fontId="7" fillId="0" borderId="8" xfId="3" applyNumberFormat="1" applyFont="1" applyBorder="1" applyAlignment="1">
      <alignment horizontal="center" vertical="center"/>
    </xf>
    <xf numFmtId="0" fontId="7" fillId="0" borderId="0" xfId="3" applyNumberFormat="1" applyFont="1" applyBorder="1" applyAlignment="1">
      <alignment horizontal="center" vertical="center"/>
    </xf>
    <xf numFmtId="0" fontId="10" fillId="0" borderId="0" xfId="1" applyFont="1" applyBorder="1" applyAlignment="1">
      <alignment horizontal="left" vertical="center" indent="1"/>
    </xf>
    <xf numFmtId="0" fontId="5" fillId="0" borderId="0" xfId="1" applyFont="1" applyBorder="1" applyAlignment="1">
      <alignment horizontal="left" vertical="center" indent="1"/>
    </xf>
    <xf numFmtId="0" fontId="10" fillId="0" borderId="4" xfId="1" applyFont="1" applyBorder="1" applyAlignment="1">
      <alignment horizontal="left" vertical="center" indent="1"/>
    </xf>
  </cellXfs>
  <cellStyles count="4">
    <cellStyle name="Currency 2" xfId="2" xr:uid="{806724BB-EE5F-4F26-B161-CEE207D594BD}"/>
    <cellStyle name="Normal" xfId="0" builtinId="0"/>
    <cellStyle name="Normal 2" xfId="1" xr:uid="{ADA1992C-2E1A-41C4-8780-FE343F497ABD}"/>
    <cellStyle name="Percent 2" xfId="3" xr:uid="{D9AE46FF-B06F-484C-9621-B6A059315B78}"/>
  </cellStyles>
  <dxfs count="0"/>
  <tableStyles count="0" defaultTableStyle="TableStyleMedium9" defaultPivotStyle="PivotStyleLight16"/>
  <colors>
    <mruColors>
      <color rgb="FF53B41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Sheet1!$K$1</c:f>
              <c:strCache>
                <c:ptCount val="1"/>
                <c:pt idx="0">
                  <c:v>PurchaseHistory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Sheet1!$K$2:$K$1001</c:f>
              <c:numCache>
                <c:formatCode>General</c:formatCode>
                <c:ptCount val="1000"/>
                <c:pt idx="0">
                  <c:v>73</c:v>
                </c:pt>
                <c:pt idx="1">
                  <c:v>67</c:v>
                </c:pt>
                <c:pt idx="2">
                  <c:v>89</c:v>
                </c:pt>
                <c:pt idx="3">
                  <c:v>22</c:v>
                </c:pt>
                <c:pt idx="4">
                  <c:v>38</c:v>
                </c:pt>
                <c:pt idx="5">
                  <c:v>90</c:v>
                </c:pt>
                <c:pt idx="6">
                  <c:v>69</c:v>
                </c:pt>
                <c:pt idx="7">
                  <c:v>47</c:v>
                </c:pt>
                <c:pt idx="8">
                  <c:v>50</c:v>
                </c:pt>
                <c:pt idx="9">
                  <c:v>86</c:v>
                </c:pt>
                <c:pt idx="10">
                  <c:v>4</c:v>
                </c:pt>
                <c:pt idx="11">
                  <c:v>35</c:v>
                </c:pt>
                <c:pt idx="12">
                  <c:v>9</c:v>
                </c:pt>
                <c:pt idx="13">
                  <c:v>97</c:v>
                </c:pt>
                <c:pt idx="14">
                  <c:v>23</c:v>
                </c:pt>
                <c:pt idx="15">
                  <c:v>32</c:v>
                </c:pt>
                <c:pt idx="16">
                  <c:v>13</c:v>
                </c:pt>
                <c:pt idx="17">
                  <c:v>24</c:v>
                </c:pt>
                <c:pt idx="18">
                  <c:v>21</c:v>
                </c:pt>
                <c:pt idx="19">
                  <c:v>13</c:v>
                </c:pt>
                <c:pt idx="20">
                  <c:v>88</c:v>
                </c:pt>
                <c:pt idx="21">
                  <c:v>84</c:v>
                </c:pt>
                <c:pt idx="22">
                  <c:v>69</c:v>
                </c:pt>
                <c:pt idx="23">
                  <c:v>51</c:v>
                </c:pt>
                <c:pt idx="24">
                  <c:v>53</c:v>
                </c:pt>
                <c:pt idx="25">
                  <c:v>2</c:v>
                </c:pt>
                <c:pt idx="26">
                  <c:v>12</c:v>
                </c:pt>
                <c:pt idx="27">
                  <c:v>1</c:v>
                </c:pt>
                <c:pt idx="28">
                  <c:v>89</c:v>
                </c:pt>
                <c:pt idx="29">
                  <c:v>83</c:v>
                </c:pt>
                <c:pt idx="30">
                  <c:v>75</c:v>
                </c:pt>
                <c:pt idx="31">
                  <c:v>43</c:v>
                </c:pt>
                <c:pt idx="32">
                  <c:v>98</c:v>
                </c:pt>
                <c:pt idx="33">
                  <c:v>52</c:v>
                </c:pt>
                <c:pt idx="34">
                  <c:v>67</c:v>
                </c:pt>
                <c:pt idx="35">
                  <c:v>69</c:v>
                </c:pt>
                <c:pt idx="36">
                  <c:v>81</c:v>
                </c:pt>
                <c:pt idx="37">
                  <c:v>8</c:v>
                </c:pt>
                <c:pt idx="38">
                  <c:v>71</c:v>
                </c:pt>
                <c:pt idx="39">
                  <c:v>10</c:v>
                </c:pt>
                <c:pt idx="40">
                  <c:v>14</c:v>
                </c:pt>
                <c:pt idx="41">
                  <c:v>69</c:v>
                </c:pt>
                <c:pt idx="42">
                  <c:v>47</c:v>
                </c:pt>
                <c:pt idx="43">
                  <c:v>7</c:v>
                </c:pt>
                <c:pt idx="44">
                  <c:v>100</c:v>
                </c:pt>
                <c:pt idx="45">
                  <c:v>60</c:v>
                </c:pt>
                <c:pt idx="46">
                  <c:v>85</c:v>
                </c:pt>
                <c:pt idx="47">
                  <c:v>85</c:v>
                </c:pt>
                <c:pt idx="48">
                  <c:v>95</c:v>
                </c:pt>
                <c:pt idx="49">
                  <c:v>92</c:v>
                </c:pt>
                <c:pt idx="50">
                  <c:v>95</c:v>
                </c:pt>
                <c:pt idx="51">
                  <c:v>14</c:v>
                </c:pt>
                <c:pt idx="52">
                  <c:v>100</c:v>
                </c:pt>
                <c:pt idx="53">
                  <c:v>30</c:v>
                </c:pt>
                <c:pt idx="54">
                  <c:v>47</c:v>
                </c:pt>
                <c:pt idx="55">
                  <c:v>2</c:v>
                </c:pt>
                <c:pt idx="56">
                  <c:v>64</c:v>
                </c:pt>
                <c:pt idx="57">
                  <c:v>88</c:v>
                </c:pt>
                <c:pt idx="58">
                  <c:v>42</c:v>
                </c:pt>
                <c:pt idx="59">
                  <c:v>69</c:v>
                </c:pt>
                <c:pt idx="60">
                  <c:v>23</c:v>
                </c:pt>
                <c:pt idx="61">
                  <c:v>19</c:v>
                </c:pt>
                <c:pt idx="62">
                  <c:v>32</c:v>
                </c:pt>
                <c:pt idx="63">
                  <c:v>79</c:v>
                </c:pt>
                <c:pt idx="64">
                  <c:v>92</c:v>
                </c:pt>
                <c:pt idx="65">
                  <c:v>22</c:v>
                </c:pt>
                <c:pt idx="66">
                  <c:v>14</c:v>
                </c:pt>
                <c:pt idx="67">
                  <c:v>19</c:v>
                </c:pt>
                <c:pt idx="68">
                  <c:v>17</c:v>
                </c:pt>
                <c:pt idx="69">
                  <c:v>58</c:v>
                </c:pt>
                <c:pt idx="70">
                  <c:v>66</c:v>
                </c:pt>
                <c:pt idx="71">
                  <c:v>4</c:v>
                </c:pt>
                <c:pt idx="72">
                  <c:v>52</c:v>
                </c:pt>
                <c:pt idx="73">
                  <c:v>49</c:v>
                </c:pt>
                <c:pt idx="74">
                  <c:v>56</c:v>
                </c:pt>
                <c:pt idx="75">
                  <c:v>11</c:v>
                </c:pt>
                <c:pt idx="76">
                  <c:v>1</c:v>
                </c:pt>
                <c:pt idx="77">
                  <c:v>21</c:v>
                </c:pt>
                <c:pt idx="78">
                  <c:v>91</c:v>
                </c:pt>
                <c:pt idx="79">
                  <c:v>93</c:v>
                </c:pt>
                <c:pt idx="80">
                  <c:v>89</c:v>
                </c:pt>
                <c:pt idx="81">
                  <c:v>40</c:v>
                </c:pt>
                <c:pt idx="82">
                  <c:v>52</c:v>
                </c:pt>
                <c:pt idx="83">
                  <c:v>68</c:v>
                </c:pt>
                <c:pt idx="84">
                  <c:v>45</c:v>
                </c:pt>
                <c:pt idx="85">
                  <c:v>59</c:v>
                </c:pt>
                <c:pt idx="86">
                  <c:v>1</c:v>
                </c:pt>
                <c:pt idx="87">
                  <c:v>41</c:v>
                </c:pt>
                <c:pt idx="88">
                  <c:v>25</c:v>
                </c:pt>
                <c:pt idx="89">
                  <c:v>73</c:v>
                </c:pt>
                <c:pt idx="90">
                  <c:v>54</c:v>
                </c:pt>
                <c:pt idx="91">
                  <c:v>53</c:v>
                </c:pt>
                <c:pt idx="92">
                  <c:v>23</c:v>
                </c:pt>
                <c:pt idx="93">
                  <c:v>98</c:v>
                </c:pt>
                <c:pt idx="94">
                  <c:v>31</c:v>
                </c:pt>
                <c:pt idx="95">
                  <c:v>90</c:v>
                </c:pt>
                <c:pt idx="96">
                  <c:v>10</c:v>
                </c:pt>
                <c:pt idx="97">
                  <c:v>29</c:v>
                </c:pt>
                <c:pt idx="98">
                  <c:v>28</c:v>
                </c:pt>
                <c:pt idx="99">
                  <c:v>7</c:v>
                </c:pt>
                <c:pt idx="100">
                  <c:v>54</c:v>
                </c:pt>
                <c:pt idx="101">
                  <c:v>39</c:v>
                </c:pt>
                <c:pt idx="102">
                  <c:v>31</c:v>
                </c:pt>
                <c:pt idx="103">
                  <c:v>11</c:v>
                </c:pt>
                <c:pt idx="104">
                  <c:v>17</c:v>
                </c:pt>
                <c:pt idx="105">
                  <c:v>23</c:v>
                </c:pt>
                <c:pt idx="106">
                  <c:v>61</c:v>
                </c:pt>
                <c:pt idx="107">
                  <c:v>23</c:v>
                </c:pt>
                <c:pt idx="108">
                  <c:v>5</c:v>
                </c:pt>
                <c:pt idx="109">
                  <c:v>58</c:v>
                </c:pt>
                <c:pt idx="110">
                  <c:v>33</c:v>
                </c:pt>
                <c:pt idx="111">
                  <c:v>12</c:v>
                </c:pt>
                <c:pt idx="112">
                  <c:v>11</c:v>
                </c:pt>
                <c:pt idx="113">
                  <c:v>5</c:v>
                </c:pt>
                <c:pt idx="114">
                  <c:v>71</c:v>
                </c:pt>
                <c:pt idx="115">
                  <c:v>13</c:v>
                </c:pt>
                <c:pt idx="116">
                  <c:v>51</c:v>
                </c:pt>
                <c:pt idx="117">
                  <c:v>4</c:v>
                </c:pt>
                <c:pt idx="118">
                  <c:v>36</c:v>
                </c:pt>
                <c:pt idx="119">
                  <c:v>90</c:v>
                </c:pt>
                <c:pt idx="120">
                  <c:v>60</c:v>
                </c:pt>
                <c:pt idx="121">
                  <c:v>45</c:v>
                </c:pt>
                <c:pt idx="122">
                  <c:v>2</c:v>
                </c:pt>
                <c:pt idx="123">
                  <c:v>30</c:v>
                </c:pt>
                <c:pt idx="124">
                  <c:v>88</c:v>
                </c:pt>
                <c:pt idx="125">
                  <c:v>29</c:v>
                </c:pt>
                <c:pt idx="126">
                  <c:v>3</c:v>
                </c:pt>
                <c:pt idx="127">
                  <c:v>91</c:v>
                </c:pt>
                <c:pt idx="128">
                  <c:v>21</c:v>
                </c:pt>
                <c:pt idx="129">
                  <c:v>37</c:v>
                </c:pt>
                <c:pt idx="130">
                  <c:v>70</c:v>
                </c:pt>
                <c:pt idx="131">
                  <c:v>25</c:v>
                </c:pt>
                <c:pt idx="132">
                  <c:v>76</c:v>
                </c:pt>
                <c:pt idx="133">
                  <c:v>85</c:v>
                </c:pt>
                <c:pt idx="134">
                  <c:v>42</c:v>
                </c:pt>
                <c:pt idx="135">
                  <c:v>5</c:v>
                </c:pt>
                <c:pt idx="136">
                  <c:v>59</c:v>
                </c:pt>
                <c:pt idx="137">
                  <c:v>93</c:v>
                </c:pt>
                <c:pt idx="138">
                  <c:v>46</c:v>
                </c:pt>
                <c:pt idx="139">
                  <c:v>38</c:v>
                </c:pt>
                <c:pt idx="140">
                  <c:v>42</c:v>
                </c:pt>
                <c:pt idx="141">
                  <c:v>96</c:v>
                </c:pt>
                <c:pt idx="142">
                  <c:v>43</c:v>
                </c:pt>
                <c:pt idx="143">
                  <c:v>48</c:v>
                </c:pt>
                <c:pt idx="144">
                  <c:v>44</c:v>
                </c:pt>
                <c:pt idx="145">
                  <c:v>54</c:v>
                </c:pt>
                <c:pt idx="146">
                  <c:v>56</c:v>
                </c:pt>
                <c:pt idx="147">
                  <c:v>50</c:v>
                </c:pt>
                <c:pt idx="148">
                  <c:v>76</c:v>
                </c:pt>
                <c:pt idx="149">
                  <c:v>41</c:v>
                </c:pt>
                <c:pt idx="150">
                  <c:v>99</c:v>
                </c:pt>
                <c:pt idx="151">
                  <c:v>89</c:v>
                </c:pt>
                <c:pt idx="152">
                  <c:v>82</c:v>
                </c:pt>
                <c:pt idx="153">
                  <c:v>80</c:v>
                </c:pt>
                <c:pt idx="154">
                  <c:v>1</c:v>
                </c:pt>
                <c:pt idx="155">
                  <c:v>27</c:v>
                </c:pt>
                <c:pt idx="156">
                  <c:v>11</c:v>
                </c:pt>
                <c:pt idx="157">
                  <c:v>77</c:v>
                </c:pt>
                <c:pt idx="158">
                  <c:v>100</c:v>
                </c:pt>
                <c:pt idx="159">
                  <c:v>33</c:v>
                </c:pt>
                <c:pt idx="160">
                  <c:v>42</c:v>
                </c:pt>
                <c:pt idx="161">
                  <c:v>6</c:v>
                </c:pt>
                <c:pt idx="162">
                  <c:v>9</c:v>
                </c:pt>
                <c:pt idx="163">
                  <c:v>100</c:v>
                </c:pt>
                <c:pt idx="164">
                  <c:v>17</c:v>
                </c:pt>
                <c:pt idx="165">
                  <c:v>30</c:v>
                </c:pt>
                <c:pt idx="166">
                  <c:v>70</c:v>
                </c:pt>
                <c:pt idx="167">
                  <c:v>29</c:v>
                </c:pt>
                <c:pt idx="168">
                  <c:v>60</c:v>
                </c:pt>
                <c:pt idx="169">
                  <c:v>92</c:v>
                </c:pt>
                <c:pt idx="170">
                  <c:v>68</c:v>
                </c:pt>
                <c:pt idx="171">
                  <c:v>26</c:v>
                </c:pt>
                <c:pt idx="172">
                  <c:v>59</c:v>
                </c:pt>
                <c:pt idx="173">
                  <c:v>97</c:v>
                </c:pt>
                <c:pt idx="174">
                  <c:v>84</c:v>
                </c:pt>
                <c:pt idx="175">
                  <c:v>78</c:v>
                </c:pt>
                <c:pt idx="176">
                  <c:v>2</c:v>
                </c:pt>
                <c:pt idx="177">
                  <c:v>89</c:v>
                </c:pt>
                <c:pt idx="178">
                  <c:v>91</c:v>
                </c:pt>
                <c:pt idx="179">
                  <c:v>66</c:v>
                </c:pt>
                <c:pt idx="180">
                  <c:v>43</c:v>
                </c:pt>
                <c:pt idx="181">
                  <c:v>43</c:v>
                </c:pt>
                <c:pt idx="182">
                  <c:v>0</c:v>
                </c:pt>
                <c:pt idx="183">
                  <c:v>14</c:v>
                </c:pt>
                <c:pt idx="184">
                  <c:v>73</c:v>
                </c:pt>
                <c:pt idx="185">
                  <c:v>72</c:v>
                </c:pt>
                <c:pt idx="186">
                  <c:v>50</c:v>
                </c:pt>
                <c:pt idx="187">
                  <c:v>1</c:v>
                </c:pt>
                <c:pt idx="188">
                  <c:v>64</c:v>
                </c:pt>
                <c:pt idx="189">
                  <c:v>1</c:v>
                </c:pt>
                <c:pt idx="190">
                  <c:v>23</c:v>
                </c:pt>
                <c:pt idx="191">
                  <c:v>59</c:v>
                </c:pt>
                <c:pt idx="192">
                  <c:v>55</c:v>
                </c:pt>
                <c:pt idx="193">
                  <c:v>13</c:v>
                </c:pt>
                <c:pt idx="194">
                  <c:v>78</c:v>
                </c:pt>
                <c:pt idx="195">
                  <c:v>92</c:v>
                </c:pt>
                <c:pt idx="196">
                  <c:v>47</c:v>
                </c:pt>
                <c:pt idx="197">
                  <c:v>69</c:v>
                </c:pt>
                <c:pt idx="198">
                  <c:v>60</c:v>
                </c:pt>
                <c:pt idx="199">
                  <c:v>40</c:v>
                </c:pt>
                <c:pt idx="200">
                  <c:v>47</c:v>
                </c:pt>
                <c:pt idx="201">
                  <c:v>98</c:v>
                </c:pt>
                <c:pt idx="202">
                  <c:v>35</c:v>
                </c:pt>
                <c:pt idx="203">
                  <c:v>0</c:v>
                </c:pt>
                <c:pt idx="204">
                  <c:v>75</c:v>
                </c:pt>
                <c:pt idx="205">
                  <c:v>78</c:v>
                </c:pt>
                <c:pt idx="206">
                  <c:v>85</c:v>
                </c:pt>
                <c:pt idx="207">
                  <c:v>9</c:v>
                </c:pt>
                <c:pt idx="208">
                  <c:v>0</c:v>
                </c:pt>
                <c:pt idx="209">
                  <c:v>47</c:v>
                </c:pt>
                <c:pt idx="210">
                  <c:v>81</c:v>
                </c:pt>
                <c:pt idx="211">
                  <c:v>9</c:v>
                </c:pt>
                <c:pt idx="212">
                  <c:v>31</c:v>
                </c:pt>
                <c:pt idx="213">
                  <c:v>72</c:v>
                </c:pt>
                <c:pt idx="214">
                  <c:v>9</c:v>
                </c:pt>
                <c:pt idx="215">
                  <c:v>32</c:v>
                </c:pt>
                <c:pt idx="216">
                  <c:v>73</c:v>
                </c:pt>
                <c:pt idx="217">
                  <c:v>78</c:v>
                </c:pt>
                <c:pt idx="218">
                  <c:v>21</c:v>
                </c:pt>
                <c:pt idx="219">
                  <c:v>48</c:v>
                </c:pt>
                <c:pt idx="220">
                  <c:v>5</c:v>
                </c:pt>
                <c:pt idx="221">
                  <c:v>45</c:v>
                </c:pt>
                <c:pt idx="222">
                  <c:v>41</c:v>
                </c:pt>
                <c:pt idx="223">
                  <c:v>53</c:v>
                </c:pt>
                <c:pt idx="224">
                  <c:v>43</c:v>
                </c:pt>
                <c:pt idx="225">
                  <c:v>83</c:v>
                </c:pt>
                <c:pt idx="226">
                  <c:v>60</c:v>
                </c:pt>
                <c:pt idx="227">
                  <c:v>25</c:v>
                </c:pt>
                <c:pt idx="228">
                  <c:v>2</c:v>
                </c:pt>
                <c:pt idx="229">
                  <c:v>3</c:v>
                </c:pt>
                <c:pt idx="230">
                  <c:v>35</c:v>
                </c:pt>
                <c:pt idx="231">
                  <c:v>71</c:v>
                </c:pt>
                <c:pt idx="232">
                  <c:v>65</c:v>
                </c:pt>
                <c:pt idx="233">
                  <c:v>89</c:v>
                </c:pt>
                <c:pt idx="234">
                  <c:v>94</c:v>
                </c:pt>
                <c:pt idx="235">
                  <c:v>65</c:v>
                </c:pt>
                <c:pt idx="236">
                  <c:v>65</c:v>
                </c:pt>
                <c:pt idx="237">
                  <c:v>23</c:v>
                </c:pt>
                <c:pt idx="238">
                  <c:v>15</c:v>
                </c:pt>
                <c:pt idx="239">
                  <c:v>57</c:v>
                </c:pt>
                <c:pt idx="240">
                  <c:v>0</c:v>
                </c:pt>
                <c:pt idx="241">
                  <c:v>26</c:v>
                </c:pt>
                <c:pt idx="242">
                  <c:v>65</c:v>
                </c:pt>
                <c:pt idx="243">
                  <c:v>12</c:v>
                </c:pt>
                <c:pt idx="244">
                  <c:v>39</c:v>
                </c:pt>
                <c:pt idx="245">
                  <c:v>44</c:v>
                </c:pt>
                <c:pt idx="246">
                  <c:v>8</c:v>
                </c:pt>
                <c:pt idx="247">
                  <c:v>76</c:v>
                </c:pt>
                <c:pt idx="248">
                  <c:v>1</c:v>
                </c:pt>
                <c:pt idx="249">
                  <c:v>80</c:v>
                </c:pt>
                <c:pt idx="250">
                  <c:v>64</c:v>
                </c:pt>
                <c:pt idx="251">
                  <c:v>42</c:v>
                </c:pt>
                <c:pt idx="252">
                  <c:v>31</c:v>
                </c:pt>
                <c:pt idx="253">
                  <c:v>43</c:v>
                </c:pt>
                <c:pt idx="254">
                  <c:v>24</c:v>
                </c:pt>
                <c:pt idx="255">
                  <c:v>14</c:v>
                </c:pt>
                <c:pt idx="256">
                  <c:v>40</c:v>
                </c:pt>
                <c:pt idx="257">
                  <c:v>99</c:v>
                </c:pt>
                <c:pt idx="258">
                  <c:v>59</c:v>
                </c:pt>
                <c:pt idx="259">
                  <c:v>86</c:v>
                </c:pt>
                <c:pt idx="260">
                  <c:v>21</c:v>
                </c:pt>
                <c:pt idx="261">
                  <c:v>9</c:v>
                </c:pt>
                <c:pt idx="262">
                  <c:v>72</c:v>
                </c:pt>
                <c:pt idx="263">
                  <c:v>45</c:v>
                </c:pt>
                <c:pt idx="264">
                  <c:v>66</c:v>
                </c:pt>
                <c:pt idx="265">
                  <c:v>48</c:v>
                </c:pt>
                <c:pt idx="266">
                  <c:v>79</c:v>
                </c:pt>
                <c:pt idx="267">
                  <c:v>82</c:v>
                </c:pt>
                <c:pt idx="268">
                  <c:v>75</c:v>
                </c:pt>
                <c:pt idx="269">
                  <c:v>2</c:v>
                </c:pt>
                <c:pt idx="270">
                  <c:v>82</c:v>
                </c:pt>
                <c:pt idx="271">
                  <c:v>92</c:v>
                </c:pt>
                <c:pt idx="272">
                  <c:v>84</c:v>
                </c:pt>
                <c:pt idx="273">
                  <c:v>6</c:v>
                </c:pt>
                <c:pt idx="274">
                  <c:v>89</c:v>
                </c:pt>
                <c:pt idx="275">
                  <c:v>51</c:v>
                </c:pt>
                <c:pt idx="276">
                  <c:v>41</c:v>
                </c:pt>
                <c:pt idx="277">
                  <c:v>3</c:v>
                </c:pt>
                <c:pt idx="278">
                  <c:v>8</c:v>
                </c:pt>
                <c:pt idx="279">
                  <c:v>61</c:v>
                </c:pt>
                <c:pt idx="280">
                  <c:v>17</c:v>
                </c:pt>
                <c:pt idx="281">
                  <c:v>33</c:v>
                </c:pt>
                <c:pt idx="282">
                  <c:v>78</c:v>
                </c:pt>
                <c:pt idx="283">
                  <c:v>7</c:v>
                </c:pt>
                <c:pt idx="284">
                  <c:v>37</c:v>
                </c:pt>
                <c:pt idx="285">
                  <c:v>13</c:v>
                </c:pt>
                <c:pt idx="286">
                  <c:v>88</c:v>
                </c:pt>
                <c:pt idx="287">
                  <c:v>98</c:v>
                </c:pt>
                <c:pt idx="288">
                  <c:v>37</c:v>
                </c:pt>
                <c:pt idx="289">
                  <c:v>80</c:v>
                </c:pt>
                <c:pt idx="290">
                  <c:v>38</c:v>
                </c:pt>
                <c:pt idx="291">
                  <c:v>81</c:v>
                </c:pt>
                <c:pt idx="292">
                  <c:v>44</c:v>
                </c:pt>
                <c:pt idx="293">
                  <c:v>63</c:v>
                </c:pt>
                <c:pt idx="294">
                  <c:v>100</c:v>
                </c:pt>
                <c:pt idx="295">
                  <c:v>2</c:v>
                </c:pt>
                <c:pt idx="296">
                  <c:v>27</c:v>
                </c:pt>
                <c:pt idx="297">
                  <c:v>27</c:v>
                </c:pt>
                <c:pt idx="298">
                  <c:v>91</c:v>
                </c:pt>
                <c:pt idx="299">
                  <c:v>22</c:v>
                </c:pt>
                <c:pt idx="300">
                  <c:v>3</c:v>
                </c:pt>
                <c:pt idx="301">
                  <c:v>24</c:v>
                </c:pt>
                <c:pt idx="302">
                  <c:v>47</c:v>
                </c:pt>
                <c:pt idx="303">
                  <c:v>41</c:v>
                </c:pt>
                <c:pt idx="304">
                  <c:v>70</c:v>
                </c:pt>
                <c:pt idx="305">
                  <c:v>7</c:v>
                </c:pt>
                <c:pt idx="306">
                  <c:v>44</c:v>
                </c:pt>
                <c:pt idx="307">
                  <c:v>17</c:v>
                </c:pt>
                <c:pt idx="308">
                  <c:v>89</c:v>
                </c:pt>
                <c:pt idx="309">
                  <c:v>36</c:v>
                </c:pt>
                <c:pt idx="310">
                  <c:v>17</c:v>
                </c:pt>
                <c:pt idx="311">
                  <c:v>46</c:v>
                </c:pt>
                <c:pt idx="312">
                  <c:v>1</c:v>
                </c:pt>
                <c:pt idx="313">
                  <c:v>21</c:v>
                </c:pt>
                <c:pt idx="314">
                  <c:v>0</c:v>
                </c:pt>
                <c:pt idx="315">
                  <c:v>43</c:v>
                </c:pt>
                <c:pt idx="316">
                  <c:v>4</c:v>
                </c:pt>
                <c:pt idx="317">
                  <c:v>61</c:v>
                </c:pt>
                <c:pt idx="318">
                  <c:v>31</c:v>
                </c:pt>
                <c:pt idx="319">
                  <c:v>6</c:v>
                </c:pt>
                <c:pt idx="320">
                  <c:v>88</c:v>
                </c:pt>
                <c:pt idx="321">
                  <c:v>13</c:v>
                </c:pt>
                <c:pt idx="322">
                  <c:v>36</c:v>
                </c:pt>
                <c:pt idx="323">
                  <c:v>63</c:v>
                </c:pt>
                <c:pt idx="324">
                  <c:v>46</c:v>
                </c:pt>
                <c:pt idx="325">
                  <c:v>47</c:v>
                </c:pt>
                <c:pt idx="326">
                  <c:v>34</c:v>
                </c:pt>
                <c:pt idx="327">
                  <c:v>36</c:v>
                </c:pt>
                <c:pt idx="328">
                  <c:v>98</c:v>
                </c:pt>
                <c:pt idx="329">
                  <c:v>21</c:v>
                </c:pt>
                <c:pt idx="330">
                  <c:v>58</c:v>
                </c:pt>
                <c:pt idx="331">
                  <c:v>38</c:v>
                </c:pt>
                <c:pt idx="332">
                  <c:v>73</c:v>
                </c:pt>
                <c:pt idx="333">
                  <c:v>15</c:v>
                </c:pt>
                <c:pt idx="334">
                  <c:v>50</c:v>
                </c:pt>
                <c:pt idx="335">
                  <c:v>63</c:v>
                </c:pt>
                <c:pt idx="336">
                  <c:v>93</c:v>
                </c:pt>
                <c:pt idx="337">
                  <c:v>88</c:v>
                </c:pt>
                <c:pt idx="338">
                  <c:v>92</c:v>
                </c:pt>
                <c:pt idx="339">
                  <c:v>55</c:v>
                </c:pt>
                <c:pt idx="340">
                  <c:v>46</c:v>
                </c:pt>
                <c:pt idx="341">
                  <c:v>28</c:v>
                </c:pt>
                <c:pt idx="342">
                  <c:v>42</c:v>
                </c:pt>
                <c:pt idx="343">
                  <c:v>70</c:v>
                </c:pt>
                <c:pt idx="344">
                  <c:v>96</c:v>
                </c:pt>
                <c:pt idx="345">
                  <c:v>50</c:v>
                </c:pt>
                <c:pt idx="346">
                  <c:v>56</c:v>
                </c:pt>
                <c:pt idx="347">
                  <c:v>99</c:v>
                </c:pt>
                <c:pt idx="348">
                  <c:v>42</c:v>
                </c:pt>
                <c:pt idx="349">
                  <c:v>19</c:v>
                </c:pt>
                <c:pt idx="350">
                  <c:v>52</c:v>
                </c:pt>
                <c:pt idx="351">
                  <c:v>55</c:v>
                </c:pt>
                <c:pt idx="352">
                  <c:v>100</c:v>
                </c:pt>
                <c:pt idx="353">
                  <c:v>35</c:v>
                </c:pt>
                <c:pt idx="354">
                  <c:v>6</c:v>
                </c:pt>
                <c:pt idx="355">
                  <c:v>77</c:v>
                </c:pt>
                <c:pt idx="356">
                  <c:v>68</c:v>
                </c:pt>
                <c:pt idx="357">
                  <c:v>54</c:v>
                </c:pt>
                <c:pt idx="358">
                  <c:v>79</c:v>
                </c:pt>
                <c:pt idx="359">
                  <c:v>62</c:v>
                </c:pt>
                <c:pt idx="360">
                  <c:v>41</c:v>
                </c:pt>
                <c:pt idx="361">
                  <c:v>81</c:v>
                </c:pt>
                <c:pt idx="362">
                  <c:v>69</c:v>
                </c:pt>
                <c:pt idx="363">
                  <c:v>18</c:v>
                </c:pt>
                <c:pt idx="364">
                  <c:v>26</c:v>
                </c:pt>
                <c:pt idx="365">
                  <c:v>66</c:v>
                </c:pt>
                <c:pt idx="366">
                  <c:v>36</c:v>
                </c:pt>
                <c:pt idx="367">
                  <c:v>55</c:v>
                </c:pt>
                <c:pt idx="368">
                  <c:v>33</c:v>
                </c:pt>
                <c:pt idx="369">
                  <c:v>64</c:v>
                </c:pt>
                <c:pt idx="370">
                  <c:v>90</c:v>
                </c:pt>
                <c:pt idx="371">
                  <c:v>54</c:v>
                </c:pt>
                <c:pt idx="372">
                  <c:v>83</c:v>
                </c:pt>
                <c:pt idx="373">
                  <c:v>10</c:v>
                </c:pt>
                <c:pt idx="374">
                  <c:v>1</c:v>
                </c:pt>
                <c:pt idx="375">
                  <c:v>47</c:v>
                </c:pt>
                <c:pt idx="376">
                  <c:v>69</c:v>
                </c:pt>
                <c:pt idx="377">
                  <c:v>3</c:v>
                </c:pt>
                <c:pt idx="378">
                  <c:v>29</c:v>
                </c:pt>
                <c:pt idx="379">
                  <c:v>13</c:v>
                </c:pt>
                <c:pt idx="380">
                  <c:v>38</c:v>
                </c:pt>
                <c:pt idx="381">
                  <c:v>89</c:v>
                </c:pt>
                <c:pt idx="382">
                  <c:v>90</c:v>
                </c:pt>
                <c:pt idx="383">
                  <c:v>13</c:v>
                </c:pt>
                <c:pt idx="384">
                  <c:v>90</c:v>
                </c:pt>
                <c:pt idx="385">
                  <c:v>6</c:v>
                </c:pt>
                <c:pt idx="386">
                  <c:v>87</c:v>
                </c:pt>
                <c:pt idx="387">
                  <c:v>75</c:v>
                </c:pt>
                <c:pt idx="388">
                  <c:v>97</c:v>
                </c:pt>
                <c:pt idx="389">
                  <c:v>87</c:v>
                </c:pt>
                <c:pt idx="390">
                  <c:v>41</c:v>
                </c:pt>
                <c:pt idx="391">
                  <c:v>20</c:v>
                </c:pt>
                <c:pt idx="392">
                  <c:v>92</c:v>
                </c:pt>
                <c:pt idx="393">
                  <c:v>6</c:v>
                </c:pt>
                <c:pt idx="394">
                  <c:v>19</c:v>
                </c:pt>
                <c:pt idx="395">
                  <c:v>11</c:v>
                </c:pt>
                <c:pt idx="396">
                  <c:v>20</c:v>
                </c:pt>
                <c:pt idx="397">
                  <c:v>16</c:v>
                </c:pt>
                <c:pt idx="398">
                  <c:v>96</c:v>
                </c:pt>
                <c:pt idx="399">
                  <c:v>18</c:v>
                </c:pt>
                <c:pt idx="400">
                  <c:v>81</c:v>
                </c:pt>
                <c:pt idx="401">
                  <c:v>83</c:v>
                </c:pt>
                <c:pt idx="402">
                  <c:v>45</c:v>
                </c:pt>
                <c:pt idx="403">
                  <c:v>45</c:v>
                </c:pt>
                <c:pt idx="404">
                  <c:v>3</c:v>
                </c:pt>
                <c:pt idx="405">
                  <c:v>56</c:v>
                </c:pt>
                <c:pt idx="406">
                  <c:v>52</c:v>
                </c:pt>
                <c:pt idx="407">
                  <c:v>93</c:v>
                </c:pt>
                <c:pt idx="408">
                  <c:v>55</c:v>
                </c:pt>
                <c:pt idx="409">
                  <c:v>26</c:v>
                </c:pt>
                <c:pt idx="410">
                  <c:v>74</c:v>
                </c:pt>
                <c:pt idx="411">
                  <c:v>60</c:v>
                </c:pt>
                <c:pt idx="412">
                  <c:v>46</c:v>
                </c:pt>
                <c:pt idx="413">
                  <c:v>98</c:v>
                </c:pt>
                <c:pt idx="414">
                  <c:v>58</c:v>
                </c:pt>
                <c:pt idx="415">
                  <c:v>64</c:v>
                </c:pt>
                <c:pt idx="416">
                  <c:v>38</c:v>
                </c:pt>
                <c:pt idx="417">
                  <c:v>21</c:v>
                </c:pt>
                <c:pt idx="418">
                  <c:v>76</c:v>
                </c:pt>
                <c:pt idx="419">
                  <c:v>37</c:v>
                </c:pt>
                <c:pt idx="420">
                  <c:v>50</c:v>
                </c:pt>
                <c:pt idx="421">
                  <c:v>27</c:v>
                </c:pt>
                <c:pt idx="422">
                  <c:v>8</c:v>
                </c:pt>
                <c:pt idx="423">
                  <c:v>23</c:v>
                </c:pt>
                <c:pt idx="424">
                  <c:v>26</c:v>
                </c:pt>
                <c:pt idx="425">
                  <c:v>0</c:v>
                </c:pt>
                <c:pt idx="426">
                  <c:v>85</c:v>
                </c:pt>
                <c:pt idx="427">
                  <c:v>93</c:v>
                </c:pt>
                <c:pt idx="428">
                  <c:v>47</c:v>
                </c:pt>
                <c:pt idx="429">
                  <c:v>8</c:v>
                </c:pt>
                <c:pt idx="430">
                  <c:v>14</c:v>
                </c:pt>
                <c:pt idx="431">
                  <c:v>6</c:v>
                </c:pt>
                <c:pt idx="432">
                  <c:v>81</c:v>
                </c:pt>
                <c:pt idx="433">
                  <c:v>71</c:v>
                </c:pt>
                <c:pt idx="434">
                  <c:v>32</c:v>
                </c:pt>
                <c:pt idx="435">
                  <c:v>39</c:v>
                </c:pt>
                <c:pt idx="436">
                  <c:v>87</c:v>
                </c:pt>
                <c:pt idx="437">
                  <c:v>9</c:v>
                </c:pt>
                <c:pt idx="438">
                  <c:v>75</c:v>
                </c:pt>
                <c:pt idx="439">
                  <c:v>99</c:v>
                </c:pt>
                <c:pt idx="440">
                  <c:v>64</c:v>
                </c:pt>
                <c:pt idx="441">
                  <c:v>71</c:v>
                </c:pt>
                <c:pt idx="442">
                  <c:v>56</c:v>
                </c:pt>
                <c:pt idx="443">
                  <c:v>35</c:v>
                </c:pt>
                <c:pt idx="444">
                  <c:v>92</c:v>
                </c:pt>
                <c:pt idx="445">
                  <c:v>98</c:v>
                </c:pt>
                <c:pt idx="446">
                  <c:v>53</c:v>
                </c:pt>
                <c:pt idx="447">
                  <c:v>60</c:v>
                </c:pt>
                <c:pt idx="448">
                  <c:v>62</c:v>
                </c:pt>
                <c:pt idx="449">
                  <c:v>22</c:v>
                </c:pt>
                <c:pt idx="450">
                  <c:v>29</c:v>
                </c:pt>
                <c:pt idx="451">
                  <c:v>10</c:v>
                </c:pt>
                <c:pt idx="452">
                  <c:v>4</c:v>
                </c:pt>
                <c:pt idx="453">
                  <c:v>62</c:v>
                </c:pt>
                <c:pt idx="454">
                  <c:v>57</c:v>
                </c:pt>
                <c:pt idx="455">
                  <c:v>12</c:v>
                </c:pt>
                <c:pt idx="456">
                  <c:v>72</c:v>
                </c:pt>
                <c:pt idx="457">
                  <c:v>40</c:v>
                </c:pt>
                <c:pt idx="458">
                  <c:v>26</c:v>
                </c:pt>
                <c:pt idx="459">
                  <c:v>97</c:v>
                </c:pt>
                <c:pt idx="460">
                  <c:v>37</c:v>
                </c:pt>
                <c:pt idx="461">
                  <c:v>24</c:v>
                </c:pt>
                <c:pt idx="462">
                  <c:v>47</c:v>
                </c:pt>
                <c:pt idx="463">
                  <c:v>77</c:v>
                </c:pt>
                <c:pt idx="464">
                  <c:v>50</c:v>
                </c:pt>
                <c:pt idx="465">
                  <c:v>65</c:v>
                </c:pt>
                <c:pt idx="466">
                  <c:v>94</c:v>
                </c:pt>
                <c:pt idx="467">
                  <c:v>92</c:v>
                </c:pt>
                <c:pt idx="468">
                  <c:v>40</c:v>
                </c:pt>
                <c:pt idx="469">
                  <c:v>10</c:v>
                </c:pt>
                <c:pt idx="470">
                  <c:v>59</c:v>
                </c:pt>
                <c:pt idx="471">
                  <c:v>10</c:v>
                </c:pt>
                <c:pt idx="472">
                  <c:v>47</c:v>
                </c:pt>
                <c:pt idx="473">
                  <c:v>40</c:v>
                </c:pt>
                <c:pt idx="474">
                  <c:v>95</c:v>
                </c:pt>
                <c:pt idx="475">
                  <c:v>15</c:v>
                </c:pt>
                <c:pt idx="476">
                  <c:v>21</c:v>
                </c:pt>
                <c:pt idx="477">
                  <c:v>22</c:v>
                </c:pt>
                <c:pt idx="478">
                  <c:v>0</c:v>
                </c:pt>
                <c:pt idx="479">
                  <c:v>14</c:v>
                </c:pt>
                <c:pt idx="480">
                  <c:v>97</c:v>
                </c:pt>
                <c:pt idx="481">
                  <c:v>17</c:v>
                </c:pt>
                <c:pt idx="482">
                  <c:v>2</c:v>
                </c:pt>
                <c:pt idx="483">
                  <c:v>22</c:v>
                </c:pt>
                <c:pt idx="484">
                  <c:v>79</c:v>
                </c:pt>
                <c:pt idx="485">
                  <c:v>73</c:v>
                </c:pt>
                <c:pt idx="486">
                  <c:v>92</c:v>
                </c:pt>
                <c:pt idx="487">
                  <c:v>27</c:v>
                </c:pt>
                <c:pt idx="488">
                  <c:v>27</c:v>
                </c:pt>
                <c:pt idx="489">
                  <c:v>7</c:v>
                </c:pt>
                <c:pt idx="490">
                  <c:v>30</c:v>
                </c:pt>
                <c:pt idx="491">
                  <c:v>31</c:v>
                </c:pt>
                <c:pt idx="492">
                  <c:v>11</c:v>
                </c:pt>
                <c:pt idx="493">
                  <c:v>20</c:v>
                </c:pt>
                <c:pt idx="494">
                  <c:v>92</c:v>
                </c:pt>
                <c:pt idx="495">
                  <c:v>4</c:v>
                </c:pt>
                <c:pt idx="496">
                  <c:v>84</c:v>
                </c:pt>
                <c:pt idx="497">
                  <c:v>72</c:v>
                </c:pt>
                <c:pt idx="498">
                  <c:v>83</c:v>
                </c:pt>
                <c:pt idx="499">
                  <c:v>94</c:v>
                </c:pt>
                <c:pt idx="500">
                  <c:v>86</c:v>
                </c:pt>
                <c:pt idx="501">
                  <c:v>54</c:v>
                </c:pt>
                <c:pt idx="502">
                  <c:v>29</c:v>
                </c:pt>
                <c:pt idx="503">
                  <c:v>55</c:v>
                </c:pt>
                <c:pt idx="504">
                  <c:v>9</c:v>
                </c:pt>
                <c:pt idx="505">
                  <c:v>56</c:v>
                </c:pt>
                <c:pt idx="506">
                  <c:v>50</c:v>
                </c:pt>
                <c:pt idx="507">
                  <c:v>48</c:v>
                </c:pt>
                <c:pt idx="508">
                  <c:v>2</c:v>
                </c:pt>
                <c:pt idx="509">
                  <c:v>11</c:v>
                </c:pt>
                <c:pt idx="510">
                  <c:v>85</c:v>
                </c:pt>
                <c:pt idx="511">
                  <c:v>86</c:v>
                </c:pt>
                <c:pt idx="512">
                  <c:v>79</c:v>
                </c:pt>
                <c:pt idx="513">
                  <c:v>33</c:v>
                </c:pt>
                <c:pt idx="514">
                  <c:v>72</c:v>
                </c:pt>
                <c:pt idx="515">
                  <c:v>91</c:v>
                </c:pt>
                <c:pt idx="516">
                  <c:v>75</c:v>
                </c:pt>
                <c:pt idx="517">
                  <c:v>49</c:v>
                </c:pt>
                <c:pt idx="518">
                  <c:v>75</c:v>
                </c:pt>
                <c:pt idx="519">
                  <c:v>55</c:v>
                </c:pt>
                <c:pt idx="520">
                  <c:v>84</c:v>
                </c:pt>
                <c:pt idx="521">
                  <c:v>11</c:v>
                </c:pt>
                <c:pt idx="522">
                  <c:v>57</c:v>
                </c:pt>
                <c:pt idx="523">
                  <c:v>13</c:v>
                </c:pt>
                <c:pt idx="524">
                  <c:v>36</c:v>
                </c:pt>
                <c:pt idx="525">
                  <c:v>77</c:v>
                </c:pt>
                <c:pt idx="526">
                  <c:v>9</c:v>
                </c:pt>
                <c:pt idx="527">
                  <c:v>18</c:v>
                </c:pt>
                <c:pt idx="528">
                  <c:v>89</c:v>
                </c:pt>
                <c:pt idx="529">
                  <c:v>5</c:v>
                </c:pt>
                <c:pt idx="530">
                  <c:v>43</c:v>
                </c:pt>
                <c:pt idx="531">
                  <c:v>89</c:v>
                </c:pt>
                <c:pt idx="532">
                  <c:v>30</c:v>
                </c:pt>
                <c:pt idx="533">
                  <c:v>23</c:v>
                </c:pt>
                <c:pt idx="534">
                  <c:v>16</c:v>
                </c:pt>
                <c:pt idx="535">
                  <c:v>10</c:v>
                </c:pt>
                <c:pt idx="536">
                  <c:v>83</c:v>
                </c:pt>
                <c:pt idx="537">
                  <c:v>23</c:v>
                </c:pt>
                <c:pt idx="538">
                  <c:v>85</c:v>
                </c:pt>
                <c:pt idx="539">
                  <c:v>51</c:v>
                </c:pt>
                <c:pt idx="540">
                  <c:v>24</c:v>
                </c:pt>
                <c:pt idx="541">
                  <c:v>93</c:v>
                </c:pt>
                <c:pt idx="542">
                  <c:v>80</c:v>
                </c:pt>
                <c:pt idx="543">
                  <c:v>69</c:v>
                </c:pt>
                <c:pt idx="544">
                  <c:v>28</c:v>
                </c:pt>
                <c:pt idx="545">
                  <c:v>58</c:v>
                </c:pt>
                <c:pt idx="546">
                  <c:v>2</c:v>
                </c:pt>
                <c:pt idx="547">
                  <c:v>15</c:v>
                </c:pt>
                <c:pt idx="548">
                  <c:v>43</c:v>
                </c:pt>
                <c:pt idx="549">
                  <c:v>17</c:v>
                </c:pt>
                <c:pt idx="550">
                  <c:v>5</c:v>
                </c:pt>
                <c:pt idx="551">
                  <c:v>76</c:v>
                </c:pt>
                <c:pt idx="552">
                  <c:v>85</c:v>
                </c:pt>
                <c:pt idx="553">
                  <c:v>51</c:v>
                </c:pt>
                <c:pt idx="554">
                  <c:v>74</c:v>
                </c:pt>
                <c:pt idx="555">
                  <c:v>57</c:v>
                </c:pt>
                <c:pt idx="556">
                  <c:v>99</c:v>
                </c:pt>
                <c:pt idx="557">
                  <c:v>44</c:v>
                </c:pt>
                <c:pt idx="558">
                  <c:v>23</c:v>
                </c:pt>
                <c:pt idx="559">
                  <c:v>28</c:v>
                </c:pt>
                <c:pt idx="560">
                  <c:v>29</c:v>
                </c:pt>
                <c:pt idx="561">
                  <c:v>86</c:v>
                </c:pt>
                <c:pt idx="562">
                  <c:v>17</c:v>
                </c:pt>
                <c:pt idx="563">
                  <c:v>25</c:v>
                </c:pt>
                <c:pt idx="564">
                  <c:v>13</c:v>
                </c:pt>
                <c:pt idx="565">
                  <c:v>17</c:v>
                </c:pt>
                <c:pt idx="566">
                  <c:v>25</c:v>
                </c:pt>
                <c:pt idx="567">
                  <c:v>53</c:v>
                </c:pt>
                <c:pt idx="568">
                  <c:v>24</c:v>
                </c:pt>
                <c:pt idx="569">
                  <c:v>37</c:v>
                </c:pt>
                <c:pt idx="570">
                  <c:v>69</c:v>
                </c:pt>
                <c:pt idx="571">
                  <c:v>34</c:v>
                </c:pt>
                <c:pt idx="572">
                  <c:v>46</c:v>
                </c:pt>
                <c:pt idx="573">
                  <c:v>30</c:v>
                </c:pt>
                <c:pt idx="574">
                  <c:v>19</c:v>
                </c:pt>
                <c:pt idx="575">
                  <c:v>18</c:v>
                </c:pt>
                <c:pt idx="576">
                  <c:v>94</c:v>
                </c:pt>
                <c:pt idx="577">
                  <c:v>9</c:v>
                </c:pt>
                <c:pt idx="578">
                  <c:v>5</c:v>
                </c:pt>
                <c:pt idx="579">
                  <c:v>83</c:v>
                </c:pt>
                <c:pt idx="580">
                  <c:v>47</c:v>
                </c:pt>
                <c:pt idx="581">
                  <c:v>55</c:v>
                </c:pt>
                <c:pt idx="582">
                  <c:v>10</c:v>
                </c:pt>
                <c:pt idx="583">
                  <c:v>34</c:v>
                </c:pt>
                <c:pt idx="584">
                  <c:v>27</c:v>
                </c:pt>
                <c:pt idx="585">
                  <c:v>77</c:v>
                </c:pt>
                <c:pt idx="586">
                  <c:v>35</c:v>
                </c:pt>
                <c:pt idx="587">
                  <c:v>14</c:v>
                </c:pt>
                <c:pt idx="588">
                  <c:v>36</c:v>
                </c:pt>
                <c:pt idx="589">
                  <c:v>91</c:v>
                </c:pt>
                <c:pt idx="590">
                  <c:v>59</c:v>
                </c:pt>
                <c:pt idx="591">
                  <c:v>10</c:v>
                </c:pt>
                <c:pt idx="592">
                  <c:v>61</c:v>
                </c:pt>
                <c:pt idx="593">
                  <c:v>49</c:v>
                </c:pt>
                <c:pt idx="594">
                  <c:v>20</c:v>
                </c:pt>
                <c:pt idx="595">
                  <c:v>53</c:v>
                </c:pt>
                <c:pt idx="596">
                  <c:v>16</c:v>
                </c:pt>
                <c:pt idx="597">
                  <c:v>57</c:v>
                </c:pt>
                <c:pt idx="598">
                  <c:v>70</c:v>
                </c:pt>
                <c:pt idx="599">
                  <c:v>100</c:v>
                </c:pt>
                <c:pt idx="600">
                  <c:v>4</c:v>
                </c:pt>
                <c:pt idx="601">
                  <c:v>60</c:v>
                </c:pt>
                <c:pt idx="602">
                  <c:v>6</c:v>
                </c:pt>
                <c:pt idx="603">
                  <c:v>11</c:v>
                </c:pt>
                <c:pt idx="604">
                  <c:v>64</c:v>
                </c:pt>
                <c:pt idx="605">
                  <c:v>85</c:v>
                </c:pt>
                <c:pt idx="606">
                  <c:v>16</c:v>
                </c:pt>
                <c:pt idx="607">
                  <c:v>17</c:v>
                </c:pt>
                <c:pt idx="608">
                  <c:v>42</c:v>
                </c:pt>
                <c:pt idx="609">
                  <c:v>85</c:v>
                </c:pt>
                <c:pt idx="610">
                  <c:v>27</c:v>
                </c:pt>
                <c:pt idx="611">
                  <c:v>64</c:v>
                </c:pt>
                <c:pt idx="612">
                  <c:v>70</c:v>
                </c:pt>
                <c:pt idx="613">
                  <c:v>40</c:v>
                </c:pt>
                <c:pt idx="614">
                  <c:v>49</c:v>
                </c:pt>
                <c:pt idx="615">
                  <c:v>68</c:v>
                </c:pt>
                <c:pt idx="616">
                  <c:v>16</c:v>
                </c:pt>
                <c:pt idx="617">
                  <c:v>77</c:v>
                </c:pt>
                <c:pt idx="618">
                  <c:v>53</c:v>
                </c:pt>
                <c:pt idx="619">
                  <c:v>15</c:v>
                </c:pt>
                <c:pt idx="620">
                  <c:v>81</c:v>
                </c:pt>
                <c:pt idx="621">
                  <c:v>82</c:v>
                </c:pt>
                <c:pt idx="622">
                  <c:v>11</c:v>
                </c:pt>
                <c:pt idx="623">
                  <c:v>42</c:v>
                </c:pt>
                <c:pt idx="624">
                  <c:v>79</c:v>
                </c:pt>
                <c:pt idx="625">
                  <c:v>20</c:v>
                </c:pt>
                <c:pt idx="626">
                  <c:v>5</c:v>
                </c:pt>
                <c:pt idx="627">
                  <c:v>70</c:v>
                </c:pt>
                <c:pt idx="628">
                  <c:v>88</c:v>
                </c:pt>
                <c:pt idx="629">
                  <c:v>84</c:v>
                </c:pt>
                <c:pt idx="630">
                  <c:v>9</c:v>
                </c:pt>
                <c:pt idx="631">
                  <c:v>38</c:v>
                </c:pt>
                <c:pt idx="632">
                  <c:v>4</c:v>
                </c:pt>
                <c:pt idx="633">
                  <c:v>42</c:v>
                </c:pt>
                <c:pt idx="634">
                  <c:v>26</c:v>
                </c:pt>
                <c:pt idx="635">
                  <c:v>57</c:v>
                </c:pt>
                <c:pt idx="636">
                  <c:v>34</c:v>
                </c:pt>
                <c:pt idx="637">
                  <c:v>69</c:v>
                </c:pt>
                <c:pt idx="638">
                  <c:v>19</c:v>
                </c:pt>
                <c:pt idx="639">
                  <c:v>94</c:v>
                </c:pt>
                <c:pt idx="640">
                  <c:v>72</c:v>
                </c:pt>
                <c:pt idx="641">
                  <c:v>80</c:v>
                </c:pt>
                <c:pt idx="642">
                  <c:v>28</c:v>
                </c:pt>
                <c:pt idx="643">
                  <c:v>13</c:v>
                </c:pt>
                <c:pt idx="644">
                  <c:v>23</c:v>
                </c:pt>
                <c:pt idx="645">
                  <c:v>76</c:v>
                </c:pt>
                <c:pt idx="646">
                  <c:v>89</c:v>
                </c:pt>
                <c:pt idx="647">
                  <c:v>40</c:v>
                </c:pt>
                <c:pt idx="648">
                  <c:v>48</c:v>
                </c:pt>
                <c:pt idx="649">
                  <c:v>20</c:v>
                </c:pt>
                <c:pt idx="650">
                  <c:v>55</c:v>
                </c:pt>
                <c:pt idx="651">
                  <c:v>52</c:v>
                </c:pt>
                <c:pt idx="652">
                  <c:v>39</c:v>
                </c:pt>
                <c:pt idx="653">
                  <c:v>13</c:v>
                </c:pt>
                <c:pt idx="654">
                  <c:v>78</c:v>
                </c:pt>
                <c:pt idx="655">
                  <c:v>31</c:v>
                </c:pt>
                <c:pt idx="656">
                  <c:v>86</c:v>
                </c:pt>
                <c:pt idx="657">
                  <c:v>1</c:v>
                </c:pt>
                <c:pt idx="658">
                  <c:v>45</c:v>
                </c:pt>
                <c:pt idx="659">
                  <c:v>20</c:v>
                </c:pt>
                <c:pt idx="660">
                  <c:v>51</c:v>
                </c:pt>
                <c:pt idx="661">
                  <c:v>45</c:v>
                </c:pt>
                <c:pt idx="662">
                  <c:v>17</c:v>
                </c:pt>
                <c:pt idx="663">
                  <c:v>98</c:v>
                </c:pt>
                <c:pt idx="664">
                  <c:v>12</c:v>
                </c:pt>
                <c:pt idx="665">
                  <c:v>66</c:v>
                </c:pt>
                <c:pt idx="666">
                  <c:v>45</c:v>
                </c:pt>
                <c:pt idx="667">
                  <c:v>24</c:v>
                </c:pt>
                <c:pt idx="668">
                  <c:v>18</c:v>
                </c:pt>
                <c:pt idx="669">
                  <c:v>94</c:v>
                </c:pt>
                <c:pt idx="670">
                  <c:v>31</c:v>
                </c:pt>
                <c:pt idx="671">
                  <c:v>8</c:v>
                </c:pt>
                <c:pt idx="672">
                  <c:v>67</c:v>
                </c:pt>
                <c:pt idx="673">
                  <c:v>100</c:v>
                </c:pt>
                <c:pt idx="674">
                  <c:v>71</c:v>
                </c:pt>
                <c:pt idx="675">
                  <c:v>60</c:v>
                </c:pt>
                <c:pt idx="676">
                  <c:v>62</c:v>
                </c:pt>
                <c:pt idx="677">
                  <c:v>53</c:v>
                </c:pt>
                <c:pt idx="678">
                  <c:v>63</c:v>
                </c:pt>
                <c:pt idx="679">
                  <c:v>64</c:v>
                </c:pt>
                <c:pt idx="680">
                  <c:v>14</c:v>
                </c:pt>
                <c:pt idx="681">
                  <c:v>45</c:v>
                </c:pt>
                <c:pt idx="682">
                  <c:v>62</c:v>
                </c:pt>
                <c:pt idx="683">
                  <c:v>69</c:v>
                </c:pt>
                <c:pt idx="684">
                  <c:v>47</c:v>
                </c:pt>
                <c:pt idx="685">
                  <c:v>34</c:v>
                </c:pt>
                <c:pt idx="686">
                  <c:v>19</c:v>
                </c:pt>
                <c:pt idx="687">
                  <c:v>88</c:v>
                </c:pt>
                <c:pt idx="688">
                  <c:v>38</c:v>
                </c:pt>
                <c:pt idx="689">
                  <c:v>46</c:v>
                </c:pt>
                <c:pt idx="690">
                  <c:v>89</c:v>
                </c:pt>
                <c:pt idx="691">
                  <c:v>31</c:v>
                </c:pt>
                <c:pt idx="692">
                  <c:v>50</c:v>
                </c:pt>
                <c:pt idx="693">
                  <c:v>50</c:v>
                </c:pt>
                <c:pt idx="694">
                  <c:v>31</c:v>
                </c:pt>
                <c:pt idx="695">
                  <c:v>46</c:v>
                </c:pt>
                <c:pt idx="696">
                  <c:v>36</c:v>
                </c:pt>
                <c:pt idx="697">
                  <c:v>76</c:v>
                </c:pt>
                <c:pt idx="698">
                  <c:v>85</c:v>
                </c:pt>
                <c:pt idx="699">
                  <c:v>96</c:v>
                </c:pt>
                <c:pt idx="700">
                  <c:v>59</c:v>
                </c:pt>
                <c:pt idx="701">
                  <c:v>39</c:v>
                </c:pt>
                <c:pt idx="702">
                  <c:v>64</c:v>
                </c:pt>
                <c:pt idx="703">
                  <c:v>91</c:v>
                </c:pt>
                <c:pt idx="704">
                  <c:v>53</c:v>
                </c:pt>
                <c:pt idx="705">
                  <c:v>34</c:v>
                </c:pt>
                <c:pt idx="706">
                  <c:v>55</c:v>
                </c:pt>
                <c:pt idx="707">
                  <c:v>2</c:v>
                </c:pt>
                <c:pt idx="708">
                  <c:v>40</c:v>
                </c:pt>
                <c:pt idx="709">
                  <c:v>29</c:v>
                </c:pt>
                <c:pt idx="710">
                  <c:v>75</c:v>
                </c:pt>
                <c:pt idx="711">
                  <c:v>82</c:v>
                </c:pt>
                <c:pt idx="712">
                  <c:v>98</c:v>
                </c:pt>
                <c:pt idx="713">
                  <c:v>84</c:v>
                </c:pt>
                <c:pt idx="714">
                  <c:v>73</c:v>
                </c:pt>
                <c:pt idx="715">
                  <c:v>18</c:v>
                </c:pt>
                <c:pt idx="716">
                  <c:v>13</c:v>
                </c:pt>
                <c:pt idx="717">
                  <c:v>17</c:v>
                </c:pt>
                <c:pt idx="718">
                  <c:v>23</c:v>
                </c:pt>
                <c:pt idx="719">
                  <c:v>5</c:v>
                </c:pt>
                <c:pt idx="720">
                  <c:v>26</c:v>
                </c:pt>
                <c:pt idx="721">
                  <c:v>14</c:v>
                </c:pt>
                <c:pt idx="722">
                  <c:v>79</c:v>
                </c:pt>
                <c:pt idx="723">
                  <c:v>53</c:v>
                </c:pt>
                <c:pt idx="724">
                  <c:v>34</c:v>
                </c:pt>
                <c:pt idx="725">
                  <c:v>85</c:v>
                </c:pt>
                <c:pt idx="726">
                  <c:v>33</c:v>
                </c:pt>
                <c:pt idx="727">
                  <c:v>7</c:v>
                </c:pt>
                <c:pt idx="728">
                  <c:v>14</c:v>
                </c:pt>
                <c:pt idx="729">
                  <c:v>4</c:v>
                </c:pt>
                <c:pt idx="730">
                  <c:v>74</c:v>
                </c:pt>
                <c:pt idx="731">
                  <c:v>28</c:v>
                </c:pt>
                <c:pt idx="732">
                  <c:v>4</c:v>
                </c:pt>
                <c:pt idx="733">
                  <c:v>52</c:v>
                </c:pt>
                <c:pt idx="734">
                  <c:v>89</c:v>
                </c:pt>
                <c:pt idx="735">
                  <c:v>62</c:v>
                </c:pt>
                <c:pt idx="736">
                  <c:v>51</c:v>
                </c:pt>
                <c:pt idx="737">
                  <c:v>79</c:v>
                </c:pt>
                <c:pt idx="738">
                  <c:v>58</c:v>
                </c:pt>
                <c:pt idx="739">
                  <c:v>86</c:v>
                </c:pt>
                <c:pt idx="740">
                  <c:v>11</c:v>
                </c:pt>
                <c:pt idx="741">
                  <c:v>38</c:v>
                </c:pt>
                <c:pt idx="742">
                  <c:v>70</c:v>
                </c:pt>
                <c:pt idx="743">
                  <c:v>82</c:v>
                </c:pt>
                <c:pt idx="744">
                  <c:v>11</c:v>
                </c:pt>
                <c:pt idx="745">
                  <c:v>79</c:v>
                </c:pt>
                <c:pt idx="746">
                  <c:v>100</c:v>
                </c:pt>
                <c:pt idx="747">
                  <c:v>94</c:v>
                </c:pt>
                <c:pt idx="748">
                  <c:v>42</c:v>
                </c:pt>
                <c:pt idx="749">
                  <c:v>99</c:v>
                </c:pt>
                <c:pt idx="750">
                  <c:v>13</c:v>
                </c:pt>
                <c:pt idx="751">
                  <c:v>15</c:v>
                </c:pt>
                <c:pt idx="752">
                  <c:v>8</c:v>
                </c:pt>
                <c:pt idx="753">
                  <c:v>39</c:v>
                </c:pt>
                <c:pt idx="754">
                  <c:v>34</c:v>
                </c:pt>
                <c:pt idx="755">
                  <c:v>50</c:v>
                </c:pt>
                <c:pt idx="756">
                  <c:v>15</c:v>
                </c:pt>
                <c:pt idx="757">
                  <c:v>5</c:v>
                </c:pt>
                <c:pt idx="758">
                  <c:v>28</c:v>
                </c:pt>
                <c:pt idx="759">
                  <c:v>50</c:v>
                </c:pt>
                <c:pt idx="760">
                  <c:v>64</c:v>
                </c:pt>
                <c:pt idx="761">
                  <c:v>13</c:v>
                </c:pt>
                <c:pt idx="762">
                  <c:v>78</c:v>
                </c:pt>
                <c:pt idx="763">
                  <c:v>82</c:v>
                </c:pt>
                <c:pt idx="764">
                  <c:v>67</c:v>
                </c:pt>
                <c:pt idx="765">
                  <c:v>14</c:v>
                </c:pt>
                <c:pt idx="766">
                  <c:v>23</c:v>
                </c:pt>
                <c:pt idx="767">
                  <c:v>16</c:v>
                </c:pt>
                <c:pt idx="768">
                  <c:v>68</c:v>
                </c:pt>
                <c:pt idx="769">
                  <c:v>61</c:v>
                </c:pt>
                <c:pt idx="770">
                  <c:v>23</c:v>
                </c:pt>
                <c:pt idx="771">
                  <c:v>49</c:v>
                </c:pt>
                <c:pt idx="772">
                  <c:v>48</c:v>
                </c:pt>
                <c:pt idx="773">
                  <c:v>24</c:v>
                </c:pt>
                <c:pt idx="774">
                  <c:v>27</c:v>
                </c:pt>
                <c:pt idx="775">
                  <c:v>39</c:v>
                </c:pt>
                <c:pt idx="776">
                  <c:v>16</c:v>
                </c:pt>
                <c:pt idx="777">
                  <c:v>24</c:v>
                </c:pt>
                <c:pt idx="778">
                  <c:v>26</c:v>
                </c:pt>
                <c:pt idx="779">
                  <c:v>63</c:v>
                </c:pt>
                <c:pt idx="780">
                  <c:v>90</c:v>
                </c:pt>
                <c:pt idx="781">
                  <c:v>99</c:v>
                </c:pt>
                <c:pt idx="782">
                  <c:v>44</c:v>
                </c:pt>
                <c:pt idx="783">
                  <c:v>82</c:v>
                </c:pt>
                <c:pt idx="784">
                  <c:v>37</c:v>
                </c:pt>
                <c:pt idx="785">
                  <c:v>81</c:v>
                </c:pt>
                <c:pt idx="786">
                  <c:v>34</c:v>
                </c:pt>
                <c:pt idx="787">
                  <c:v>21</c:v>
                </c:pt>
                <c:pt idx="788">
                  <c:v>37</c:v>
                </c:pt>
                <c:pt idx="789">
                  <c:v>30</c:v>
                </c:pt>
                <c:pt idx="790">
                  <c:v>80</c:v>
                </c:pt>
                <c:pt idx="791">
                  <c:v>79</c:v>
                </c:pt>
                <c:pt idx="792">
                  <c:v>52</c:v>
                </c:pt>
                <c:pt idx="793">
                  <c:v>60</c:v>
                </c:pt>
                <c:pt idx="794">
                  <c:v>94</c:v>
                </c:pt>
                <c:pt idx="795">
                  <c:v>42</c:v>
                </c:pt>
                <c:pt idx="796">
                  <c:v>83</c:v>
                </c:pt>
                <c:pt idx="797">
                  <c:v>8</c:v>
                </c:pt>
                <c:pt idx="798">
                  <c:v>83</c:v>
                </c:pt>
                <c:pt idx="799">
                  <c:v>66</c:v>
                </c:pt>
                <c:pt idx="800">
                  <c:v>51</c:v>
                </c:pt>
                <c:pt idx="801">
                  <c:v>52</c:v>
                </c:pt>
                <c:pt idx="802">
                  <c:v>15</c:v>
                </c:pt>
                <c:pt idx="803">
                  <c:v>6</c:v>
                </c:pt>
                <c:pt idx="804">
                  <c:v>48</c:v>
                </c:pt>
                <c:pt idx="805">
                  <c:v>97</c:v>
                </c:pt>
                <c:pt idx="806">
                  <c:v>12</c:v>
                </c:pt>
                <c:pt idx="807">
                  <c:v>1</c:v>
                </c:pt>
                <c:pt idx="808">
                  <c:v>7</c:v>
                </c:pt>
                <c:pt idx="809">
                  <c:v>62</c:v>
                </c:pt>
                <c:pt idx="810">
                  <c:v>37</c:v>
                </c:pt>
                <c:pt idx="811">
                  <c:v>18</c:v>
                </c:pt>
                <c:pt idx="812">
                  <c:v>1</c:v>
                </c:pt>
                <c:pt idx="813">
                  <c:v>19</c:v>
                </c:pt>
                <c:pt idx="814">
                  <c:v>16</c:v>
                </c:pt>
                <c:pt idx="815">
                  <c:v>63</c:v>
                </c:pt>
                <c:pt idx="816">
                  <c:v>59</c:v>
                </c:pt>
                <c:pt idx="817">
                  <c:v>16</c:v>
                </c:pt>
                <c:pt idx="818">
                  <c:v>55</c:v>
                </c:pt>
                <c:pt idx="819">
                  <c:v>38</c:v>
                </c:pt>
                <c:pt idx="820">
                  <c:v>77</c:v>
                </c:pt>
                <c:pt idx="821">
                  <c:v>38</c:v>
                </c:pt>
                <c:pt idx="822">
                  <c:v>36</c:v>
                </c:pt>
                <c:pt idx="823">
                  <c:v>10</c:v>
                </c:pt>
                <c:pt idx="824">
                  <c:v>90</c:v>
                </c:pt>
                <c:pt idx="825">
                  <c:v>85</c:v>
                </c:pt>
                <c:pt idx="826">
                  <c:v>0</c:v>
                </c:pt>
                <c:pt idx="827">
                  <c:v>44</c:v>
                </c:pt>
                <c:pt idx="828">
                  <c:v>81</c:v>
                </c:pt>
                <c:pt idx="829">
                  <c:v>83</c:v>
                </c:pt>
                <c:pt idx="830">
                  <c:v>55</c:v>
                </c:pt>
                <c:pt idx="831">
                  <c:v>55</c:v>
                </c:pt>
                <c:pt idx="832">
                  <c:v>93</c:v>
                </c:pt>
                <c:pt idx="833">
                  <c:v>50</c:v>
                </c:pt>
                <c:pt idx="834">
                  <c:v>43</c:v>
                </c:pt>
                <c:pt idx="835">
                  <c:v>33</c:v>
                </c:pt>
                <c:pt idx="836">
                  <c:v>7</c:v>
                </c:pt>
                <c:pt idx="837">
                  <c:v>70</c:v>
                </c:pt>
                <c:pt idx="838">
                  <c:v>85</c:v>
                </c:pt>
                <c:pt idx="839">
                  <c:v>6</c:v>
                </c:pt>
                <c:pt idx="840">
                  <c:v>72</c:v>
                </c:pt>
                <c:pt idx="841">
                  <c:v>41</c:v>
                </c:pt>
                <c:pt idx="842">
                  <c:v>97</c:v>
                </c:pt>
                <c:pt idx="843">
                  <c:v>69</c:v>
                </c:pt>
                <c:pt idx="844">
                  <c:v>70</c:v>
                </c:pt>
                <c:pt idx="845">
                  <c:v>100</c:v>
                </c:pt>
                <c:pt idx="846">
                  <c:v>19</c:v>
                </c:pt>
                <c:pt idx="847">
                  <c:v>84</c:v>
                </c:pt>
                <c:pt idx="848">
                  <c:v>66</c:v>
                </c:pt>
                <c:pt idx="849">
                  <c:v>76</c:v>
                </c:pt>
                <c:pt idx="850">
                  <c:v>45</c:v>
                </c:pt>
                <c:pt idx="851">
                  <c:v>53</c:v>
                </c:pt>
                <c:pt idx="852">
                  <c:v>90</c:v>
                </c:pt>
                <c:pt idx="853">
                  <c:v>75</c:v>
                </c:pt>
                <c:pt idx="854">
                  <c:v>90</c:v>
                </c:pt>
                <c:pt idx="855">
                  <c:v>57</c:v>
                </c:pt>
                <c:pt idx="856">
                  <c:v>26</c:v>
                </c:pt>
                <c:pt idx="857">
                  <c:v>89</c:v>
                </c:pt>
                <c:pt idx="858">
                  <c:v>5</c:v>
                </c:pt>
                <c:pt idx="859">
                  <c:v>45</c:v>
                </c:pt>
                <c:pt idx="860">
                  <c:v>95</c:v>
                </c:pt>
                <c:pt idx="861">
                  <c:v>64</c:v>
                </c:pt>
                <c:pt idx="862">
                  <c:v>74</c:v>
                </c:pt>
                <c:pt idx="863">
                  <c:v>48</c:v>
                </c:pt>
                <c:pt idx="864">
                  <c:v>88</c:v>
                </c:pt>
                <c:pt idx="865">
                  <c:v>61</c:v>
                </c:pt>
                <c:pt idx="866">
                  <c:v>66</c:v>
                </c:pt>
                <c:pt idx="867">
                  <c:v>68</c:v>
                </c:pt>
                <c:pt idx="868">
                  <c:v>88</c:v>
                </c:pt>
                <c:pt idx="869">
                  <c:v>15</c:v>
                </c:pt>
                <c:pt idx="870">
                  <c:v>46</c:v>
                </c:pt>
                <c:pt idx="871">
                  <c:v>1</c:v>
                </c:pt>
                <c:pt idx="872">
                  <c:v>95</c:v>
                </c:pt>
                <c:pt idx="873">
                  <c:v>82</c:v>
                </c:pt>
                <c:pt idx="874">
                  <c:v>8</c:v>
                </c:pt>
                <c:pt idx="875">
                  <c:v>98</c:v>
                </c:pt>
                <c:pt idx="876">
                  <c:v>57</c:v>
                </c:pt>
                <c:pt idx="877">
                  <c:v>38</c:v>
                </c:pt>
                <c:pt idx="878">
                  <c:v>49</c:v>
                </c:pt>
                <c:pt idx="879">
                  <c:v>0</c:v>
                </c:pt>
                <c:pt idx="880">
                  <c:v>65</c:v>
                </c:pt>
                <c:pt idx="881">
                  <c:v>52</c:v>
                </c:pt>
                <c:pt idx="882">
                  <c:v>44</c:v>
                </c:pt>
                <c:pt idx="883">
                  <c:v>55</c:v>
                </c:pt>
                <c:pt idx="884">
                  <c:v>64</c:v>
                </c:pt>
                <c:pt idx="885">
                  <c:v>99</c:v>
                </c:pt>
                <c:pt idx="886">
                  <c:v>91</c:v>
                </c:pt>
                <c:pt idx="887">
                  <c:v>96</c:v>
                </c:pt>
                <c:pt idx="888">
                  <c:v>59</c:v>
                </c:pt>
                <c:pt idx="889">
                  <c:v>46</c:v>
                </c:pt>
                <c:pt idx="890">
                  <c:v>24</c:v>
                </c:pt>
                <c:pt idx="891">
                  <c:v>42</c:v>
                </c:pt>
                <c:pt idx="892">
                  <c:v>1</c:v>
                </c:pt>
                <c:pt idx="893">
                  <c:v>46</c:v>
                </c:pt>
                <c:pt idx="894">
                  <c:v>87</c:v>
                </c:pt>
                <c:pt idx="895">
                  <c:v>16</c:v>
                </c:pt>
                <c:pt idx="896">
                  <c:v>8</c:v>
                </c:pt>
                <c:pt idx="897">
                  <c:v>64</c:v>
                </c:pt>
                <c:pt idx="898">
                  <c:v>63</c:v>
                </c:pt>
                <c:pt idx="899">
                  <c:v>19</c:v>
                </c:pt>
                <c:pt idx="900">
                  <c:v>100</c:v>
                </c:pt>
                <c:pt idx="901">
                  <c:v>32</c:v>
                </c:pt>
                <c:pt idx="902">
                  <c:v>3</c:v>
                </c:pt>
                <c:pt idx="903">
                  <c:v>78</c:v>
                </c:pt>
                <c:pt idx="904">
                  <c:v>64</c:v>
                </c:pt>
                <c:pt idx="905">
                  <c:v>74</c:v>
                </c:pt>
                <c:pt idx="906">
                  <c:v>45</c:v>
                </c:pt>
                <c:pt idx="907">
                  <c:v>25</c:v>
                </c:pt>
                <c:pt idx="908">
                  <c:v>69</c:v>
                </c:pt>
                <c:pt idx="909">
                  <c:v>68</c:v>
                </c:pt>
                <c:pt idx="910">
                  <c:v>31</c:v>
                </c:pt>
                <c:pt idx="911">
                  <c:v>56</c:v>
                </c:pt>
                <c:pt idx="912">
                  <c:v>69</c:v>
                </c:pt>
                <c:pt idx="913">
                  <c:v>11</c:v>
                </c:pt>
                <c:pt idx="914">
                  <c:v>2</c:v>
                </c:pt>
                <c:pt idx="915">
                  <c:v>55</c:v>
                </c:pt>
                <c:pt idx="916">
                  <c:v>77</c:v>
                </c:pt>
                <c:pt idx="917">
                  <c:v>19</c:v>
                </c:pt>
                <c:pt idx="918">
                  <c:v>33</c:v>
                </c:pt>
                <c:pt idx="919">
                  <c:v>77</c:v>
                </c:pt>
                <c:pt idx="920">
                  <c:v>62</c:v>
                </c:pt>
                <c:pt idx="921">
                  <c:v>50</c:v>
                </c:pt>
                <c:pt idx="922">
                  <c:v>47</c:v>
                </c:pt>
                <c:pt idx="923">
                  <c:v>82</c:v>
                </c:pt>
                <c:pt idx="924">
                  <c:v>8</c:v>
                </c:pt>
                <c:pt idx="925">
                  <c:v>63</c:v>
                </c:pt>
                <c:pt idx="926">
                  <c:v>16</c:v>
                </c:pt>
                <c:pt idx="927">
                  <c:v>5</c:v>
                </c:pt>
                <c:pt idx="928">
                  <c:v>99</c:v>
                </c:pt>
                <c:pt idx="929">
                  <c:v>9</c:v>
                </c:pt>
                <c:pt idx="930">
                  <c:v>31</c:v>
                </c:pt>
                <c:pt idx="931">
                  <c:v>14</c:v>
                </c:pt>
                <c:pt idx="932">
                  <c:v>89</c:v>
                </c:pt>
                <c:pt idx="933">
                  <c:v>75</c:v>
                </c:pt>
                <c:pt idx="934">
                  <c:v>47</c:v>
                </c:pt>
                <c:pt idx="935">
                  <c:v>30</c:v>
                </c:pt>
                <c:pt idx="936">
                  <c:v>84</c:v>
                </c:pt>
                <c:pt idx="937">
                  <c:v>36</c:v>
                </c:pt>
                <c:pt idx="938">
                  <c:v>1</c:v>
                </c:pt>
                <c:pt idx="939">
                  <c:v>34</c:v>
                </c:pt>
                <c:pt idx="940">
                  <c:v>54</c:v>
                </c:pt>
                <c:pt idx="941">
                  <c:v>56</c:v>
                </c:pt>
                <c:pt idx="942">
                  <c:v>54</c:v>
                </c:pt>
                <c:pt idx="943">
                  <c:v>13</c:v>
                </c:pt>
                <c:pt idx="944">
                  <c:v>12</c:v>
                </c:pt>
                <c:pt idx="945">
                  <c:v>4</c:v>
                </c:pt>
                <c:pt idx="946">
                  <c:v>56</c:v>
                </c:pt>
                <c:pt idx="947">
                  <c:v>86</c:v>
                </c:pt>
                <c:pt idx="948">
                  <c:v>5</c:v>
                </c:pt>
                <c:pt idx="949">
                  <c:v>35</c:v>
                </c:pt>
                <c:pt idx="950">
                  <c:v>73</c:v>
                </c:pt>
                <c:pt idx="951">
                  <c:v>42</c:v>
                </c:pt>
                <c:pt idx="952">
                  <c:v>27</c:v>
                </c:pt>
                <c:pt idx="953">
                  <c:v>84</c:v>
                </c:pt>
                <c:pt idx="954">
                  <c:v>76</c:v>
                </c:pt>
                <c:pt idx="955">
                  <c:v>93</c:v>
                </c:pt>
                <c:pt idx="956">
                  <c:v>62</c:v>
                </c:pt>
                <c:pt idx="957">
                  <c:v>80</c:v>
                </c:pt>
                <c:pt idx="958">
                  <c:v>29</c:v>
                </c:pt>
                <c:pt idx="959">
                  <c:v>96</c:v>
                </c:pt>
                <c:pt idx="960">
                  <c:v>20</c:v>
                </c:pt>
                <c:pt idx="961">
                  <c:v>77</c:v>
                </c:pt>
                <c:pt idx="962">
                  <c:v>2</c:v>
                </c:pt>
                <c:pt idx="963">
                  <c:v>0</c:v>
                </c:pt>
                <c:pt idx="964">
                  <c:v>67</c:v>
                </c:pt>
                <c:pt idx="965">
                  <c:v>62</c:v>
                </c:pt>
                <c:pt idx="966">
                  <c:v>14</c:v>
                </c:pt>
                <c:pt idx="967">
                  <c:v>95</c:v>
                </c:pt>
                <c:pt idx="968">
                  <c:v>84</c:v>
                </c:pt>
                <c:pt idx="969">
                  <c:v>91</c:v>
                </c:pt>
                <c:pt idx="970">
                  <c:v>31</c:v>
                </c:pt>
                <c:pt idx="971">
                  <c:v>79</c:v>
                </c:pt>
                <c:pt idx="972">
                  <c:v>54</c:v>
                </c:pt>
                <c:pt idx="973">
                  <c:v>87</c:v>
                </c:pt>
                <c:pt idx="974">
                  <c:v>75</c:v>
                </c:pt>
                <c:pt idx="975">
                  <c:v>47</c:v>
                </c:pt>
                <c:pt idx="976">
                  <c:v>61</c:v>
                </c:pt>
                <c:pt idx="977">
                  <c:v>29</c:v>
                </c:pt>
                <c:pt idx="978">
                  <c:v>64</c:v>
                </c:pt>
                <c:pt idx="979">
                  <c:v>92</c:v>
                </c:pt>
                <c:pt idx="980">
                  <c:v>19</c:v>
                </c:pt>
                <c:pt idx="981">
                  <c:v>92</c:v>
                </c:pt>
                <c:pt idx="982">
                  <c:v>58</c:v>
                </c:pt>
                <c:pt idx="983">
                  <c:v>94</c:v>
                </c:pt>
                <c:pt idx="984">
                  <c:v>9</c:v>
                </c:pt>
                <c:pt idx="985">
                  <c:v>54</c:v>
                </c:pt>
                <c:pt idx="986">
                  <c:v>40</c:v>
                </c:pt>
                <c:pt idx="987">
                  <c:v>30</c:v>
                </c:pt>
                <c:pt idx="988">
                  <c:v>96</c:v>
                </c:pt>
                <c:pt idx="989">
                  <c:v>17</c:v>
                </c:pt>
                <c:pt idx="990">
                  <c:v>3</c:v>
                </c:pt>
                <c:pt idx="991">
                  <c:v>41</c:v>
                </c:pt>
                <c:pt idx="992">
                  <c:v>80</c:v>
                </c:pt>
                <c:pt idx="993">
                  <c:v>20</c:v>
                </c:pt>
                <c:pt idx="994">
                  <c:v>13</c:v>
                </c:pt>
                <c:pt idx="995">
                  <c:v>90</c:v>
                </c:pt>
                <c:pt idx="996">
                  <c:v>60</c:v>
                </c:pt>
                <c:pt idx="997">
                  <c:v>74</c:v>
                </c:pt>
                <c:pt idx="998">
                  <c:v>56</c:v>
                </c:pt>
                <c:pt idx="999">
                  <c:v>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D9-46B2-8685-C393C0F8BD63}"/>
            </c:ext>
          </c:extLst>
        </c:ser>
        <c:ser>
          <c:idx val="1"/>
          <c:order val="1"/>
          <c:tx>
            <c:strRef>
              <c:f>Sheet1!$L$1</c:f>
              <c:strCache>
                <c:ptCount val="1"/>
                <c:pt idx="0">
                  <c:v>LastPurchaseDate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Sheet1!$L$2:$L$1001</c:f>
              <c:numCache>
                <c:formatCode>m/d/yyyy</c:formatCode>
                <c:ptCount val="1000"/>
                <c:pt idx="0">
                  <c:v>45074</c:v>
                </c:pt>
                <c:pt idx="1">
                  <c:v>45058</c:v>
                </c:pt>
                <c:pt idx="2">
                  <c:v>45292</c:v>
                </c:pt>
                <c:pt idx="3">
                  <c:v>45012</c:v>
                </c:pt>
                <c:pt idx="4">
                  <c:v>45027</c:v>
                </c:pt>
                <c:pt idx="5">
                  <c:v>44991</c:v>
                </c:pt>
                <c:pt idx="6">
                  <c:v>45105</c:v>
                </c:pt>
                <c:pt idx="7">
                  <c:v>45158</c:v>
                </c:pt>
                <c:pt idx="8">
                  <c:v>44967</c:v>
                </c:pt>
                <c:pt idx="9">
                  <c:v>45201</c:v>
                </c:pt>
                <c:pt idx="10">
                  <c:v>45200</c:v>
                </c:pt>
                <c:pt idx="11">
                  <c:v>45179</c:v>
                </c:pt>
                <c:pt idx="12">
                  <c:v>45016</c:v>
                </c:pt>
                <c:pt idx="13">
                  <c:v>45168</c:v>
                </c:pt>
                <c:pt idx="14">
                  <c:v>45156</c:v>
                </c:pt>
                <c:pt idx="15">
                  <c:v>45034</c:v>
                </c:pt>
                <c:pt idx="16">
                  <c:v>45072</c:v>
                </c:pt>
                <c:pt idx="17">
                  <c:v>45148</c:v>
                </c:pt>
                <c:pt idx="18">
                  <c:v>45173</c:v>
                </c:pt>
                <c:pt idx="19">
                  <c:v>45283</c:v>
                </c:pt>
                <c:pt idx="20">
                  <c:v>45004</c:v>
                </c:pt>
                <c:pt idx="21">
                  <c:v>45166</c:v>
                </c:pt>
                <c:pt idx="22">
                  <c:v>44942</c:v>
                </c:pt>
                <c:pt idx="23">
                  <c:v>45234</c:v>
                </c:pt>
                <c:pt idx="24">
                  <c:v>45080</c:v>
                </c:pt>
                <c:pt idx="25">
                  <c:v>45227</c:v>
                </c:pt>
                <c:pt idx="26">
                  <c:v>45185</c:v>
                </c:pt>
                <c:pt idx="27">
                  <c:v>45187</c:v>
                </c:pt>
                <c:pt idx="28">
                  <c:v>45141</c:v>
                </c:pt>
                <c:pt idx="29">
                  <c:v>45249</c:v>
                </c:pt>
                <c:pt idx="30">
                  <c:v>45247</c:v>
                </c:pt>
                <c:pt idx="31">
                  <c:v>45137</c:v>
                </c:pt>
                <c:pt idx="32">
                  <c:v>45251</c:v>
                </c:pt>
                <c:pt idx="33">
                  <c:v>45237</c:v>
                </c:pt>
                <c:pt idx="34">
                  <c:v>45215</c:v>
                </c:pt>
                <c:pt idx="35">
                  <c:v>45091</c:v>
                </c:pt>
                <c:pt idx="36">
                  <c:v>45257</c:v>
                </c:pt>
                <c:pt idx="37">
                  <c:v>44972</c:v>
                </c:pt>
                <c:pt idx="38">
                  <c:v>44934</c:v>
                </c:pt>
                <c:pt idx="39">
                  <c:v>45110</c:v>
                </c:pt>
                <c:pt idx="40">
                  <c:v>45068</c:v>
                </c:pt>
                <c:pt idx="41">
                  <c:v>44961</c:v>
                </c:pt>
                <c:pt idx="42">
                  <c:v>45000</c:v>
                </c:pt>
                <c:pt idx="43">
                  <c:v>44976</c:v>
                </c:pt>
                <c:pt idx="44">
                  <c:v>45291</c:v>
                </c:pt>
                <c:pt idx="45">
                  <c:v>45054</c:v>
                </c:pt>
                <c:pt idx="46">
                  <c:v>45060</c:v>
                </c:pt>
                <c:pt idx="47">
                  <c:v>45286</c:v>
                </c:pt>
                <c:pt idx="48">
                  <c:v>44954</c:v>
                </c:pt>
                <c:pt idx="49">
                  <c:v>45002</c:v>
                </c:pt>
                <c:pt idx="50">
                  <c:v>45135</c:v>
                </c:pt>
                <c:pt idx="51">
                  <c:v>45075</c:v>
                </c:pt>
                <c:pt idx="52">
                  <c:v>45284</c:v>
                </c:pt>
                <c:pt idx="53">
                  <c:v>44957</c:v>
                </c:pt>
                <c:pt idx="54">
                  <c:v>44979</c:v>
                </c:pt>
                <c:pt idx="55">
                  <c:v>45237</c:v>
                </c:pt>
                <c:pt idx="56">
                  <c:v>45168</c:v>
                </c:pt>
                <c:pt idx="57">
                  <c:v>45259</c:v>
                </c:pt>
                <c:pt idx="58">
                  <c:v>44938</c:v>
                </c:pt>
                <c:pt idx="59">
                  <c:v>45199</c:v>
                </c:pt>
                <c:pt idx="60">
                  <c:v>45225</c:v>
                </c:pt>
                <c:pt idx="61">
                  <c:v>45270</c:v>
                </c:pt>
                <c:pt idx="62">
                  <c:v>44985</c:v>
                </c:pt>
                <c:pt idx="63">
                  <c:v>45100</c:v>
                </c:pt>
                <c:pt idx="64">
                  <c:v>45208</c:v>
                </c:pt>
                <c:pt idx="65">
                  <c:v>44964</c:v>
                </c:pt>
                <c:pt idx="66">
                  <c:v>45242</c:v>
                </c:pt>
                <c:pt idx="67">
                  <c:v>45259</c:v>
                </c:pt>
                <c:pt idx="68">
                  <c:v>44941</c:v>
                </c:pt>
                <c:pt idx="69">
                  <c:v>45077</c:v>
                </c:pt>
                <c:pt idx="70">
                  <c:v>45137</c:v>
                </c:pt>
                <c:pt idx="71">
                  <c:v>45026</c:v>
                </c:pt>
                <c:pt idx="72">
                  <c:v>45037</c:v>
                </c:pt>
                <c:pt idx="73">
                  <c:v>45285</c:v>
                </c:pt>
                <c:pt idx="74">
                  <c:v>45284</c:v>
                </c:pt>
                <c:pt idx="75">
                  <c:v>44961</c:v>
                </c:pt>
                <c:pt idx="76">
                  <c:v>45080</c:v>
                </c:pt>
                <c:pt idx="77">
                  <c:v>45213</c:v>
                </c:pt>
                <c:pt idx="78">
                  <c:v>45191</c:v>
                </c:pt>
                <c:pt idx="79">
                  <c:v>44948</c:v>
                </c:pt>
                <c:pt idx="80">
                  <c:v>45032</c:v>
                </c:pt>
                <c:pt idx="81">
                  <c:v>45142</c:v>
                </c:pt>
                <c:pt idx="82">
                  <c:v>45081</c:v>
                </c:pt>
                <c:pt idx="83">
                  <c:v>45058</c:v>
                </c:pt>
                <c:pt idx="84">
                  <c:v>45085</c:v>
                </c:pt>
                <c:pt idx="85">
                  <c:v>44928</c:v>
                </c:pt>
                <c:pt idx="86">
                  <c:v>45180</c:v>
                </c:pt>
                <c:pt idx="87">
                  <c:v>45266</c:v>
                </c:pt>
                <c:pt idx="88">
                  <c:v>45263</c:v>
                </c:pt>
                <c:pt idx="89">
                  <c:v>45151</c:v>
                </c:pt>
                <c:pt idx="90">
                  <c:v>45072</c:v>
                </c:pt>
                <c:pt idx="91">
                  <c:v>45245</c:v>
                </c:pt>
                <c:pt idx="92">
                  <c:v>45069</c:v>
                </c:pt>
                <c:pt idx="93">
                  <c:v>45064</c:v>
                </c:pt>
                <c:pt idx="94">
                  <c:v>44950</c:v>
                </c:pt>
                <c:pt idx="95">
                  <c:v>44993</c:v>
                </c:pt>
                <c:pt idx="96">
                  <c:v>44966</c:v>
                </c:pt>
                <c:pt idx="97">
                  <c:v>45281</c:v>
                </c:pt>
                <c:pt idx="98">
                  <c:v>45078</c:v>
                </c:pt>
                <c:pt idx="99">
                  <c:v>45270</c:v>
                </c:pt>
                <c:pt idx="100">
                  <c:v>45226</c:v>
                </c:pt>
                <c:pt idx="101">
                  <c:v>45276</c:v>
                </c:pt>
                <c:pt idx="102">
                  <c:v>45127</c:v>
                </c:pt>
                <c:pt idx="103">
                  <c:v>44951</c:v>
                </c:pt>
                <c:pt idx="104">
                  <c:v>45132</c:v>
                </c:pt>
                <c:pt idx="105">
                  <c:v>45145</c:v>
                </c:pt>
                <c:pt idx="106">
                  <c:v>45182</c:v>
                </c:pt>
                <c:pt idx="107">
                  <c:v>45191</c:v>
                </c:pt>
                <c:pt idx="108">
                  <c:v>45270</c:v>
                </c:pt>
                <c:pt idx="109">
                  <c:v>45002</c:v>
                </c:pt>
                <c:pt idx="110">
                  <c:v>45219</c:v>
                </c:pt>
                <c:pt idx="111">
                  <c:v>44972</c:v>
                </c:pt>
                <c:pt idx="112">
                  <c:v>44951</c:v>
                </c:pt>
                <c:pt idx="113">
                  <c:v>45002</c:v>
                </c:pt>
                <c:pt idx="114">
                  <c:v>44936</c:v>
                </c:pt>
                <c:pt idx="115">
                  <c:v>45134</c:v>
                </c:pt>
                <c:pt idx="116">
                  <c:v>45215</c:v>
                </c:pt>
                <c:pt idx="117">
                  <c:v>45152</c:v>
                </c:pt>
                <c:pt idx="118">
                  <c:v>45116</c:v>
                </c:pt>
                <c:pt idx="119">
                  <c:v>45133</c:v>
                </c:pt>
                <c:pt idx="120">
                  <c:v>45040</c:v>
                </c:pt>
                <c:pt idx="121">
                  <c:v>45108</c:v>
                </c:pt>
                <c:pt idx="122">
                  <c:v>44987</c:v>
                </c:pt>
                <c:pt idx="123">
                  <c:v>45060</c:v>
                </c:pt>
                <c:pt idx="124">
                  <c:v>44997</c:v>
                </c:pt>
                <c:pt idx="125">
                  <c:v>45171</c:v>
                </c:pt>
                <c:pt idx="126">
                  <c:v>45095</c:v>
                </c:pt>
                <c:pt idx="127">
                  <c:v>45121</c:v>
                </c:pt>
                <c:pt idx="128">
                  <c:v>45008</c:v>
                </c:pt>
                <c:pt idx="129">
                  <c:v>44987</c:v>
                </c:pt>
                <c:pt idx="130">
                  <c:v>44965</c:v>
                </c:pt>
                <c:pt idx="131">
                  <c:v>45258</c:v>
                </c:pt>
                <c:pt idx="132">
                  <c:v>45223</c:v>
                </c:pt>
                <c:pt idx="133">
                  <c:v>44962</c:v>
                </c:pt>
                <c:pt idx="134">
                  <c:v>45009</c:v>
                </c:pt>
                <c:pt idx="135">
                  <c:v>44960</c:v>
                </c:pt>
                <c:pt idx="136">
                  <c:v>45200</c:v>
                </c:pt>
                <c:pt idx="137">
                  <c:v>44955</c:v>
                </c:pt>
                <c:pt idx="138">
                  <c:v>45025</c:v>
                </c:pt>
                <c:pt idx="139">
                  <c:v>44944</c:v>
                </c:pt>
                <c:pt idx="140">
                  <c:v>44983</c:v>
                </c:pt>
                <c:pt idx="141">
                  <c:v>45012</c:v>
                </c:pt>
                <c:pt idx="142">
                  <c:v>45244</c:v>
                </c:pt>
                <c:pt idx="143">
                  <c:v>44984</c:v>
                </c:pt>
                <c:pt idx="144">
                  <c:v>45267</c:v>
                </c:pt>
                <c:pt idx="145">
                  <c:v>45269</c:v>
                </c:pt>
                <c:pt idx="146">
                  <c:v>45083</c:v>
                </c:pt>
                <c:pt idx="147">
                  <c:v>45222</c:v>
                </c:pt>
                <c:pt idx="148">
                  <c:v>45014</c:v>
                </c:pt>
                <c:pt idx="149">
                  <c:v>45202</c:v>
                </c:pt>
                <c:pt idx="150">
                  <c:v>44928</c:v>
                </c:pt>
                <c:pt idx="151">
                  <c:v>45278</c:v>
                </c:pt>
                <c:pt idx="152">
                  <c:v>45139</c:v>
                </c:pt>
                <c:pt idx="153">
                  <c:v>45186</c:v>
                </c:pt>
                <c:pt idx="154">
                  <c:v>45177</c:v>
                </c:pt>
                <c:pt idx="155">
                  <c:v>45256</c:v>
                </c:pt>
                <c:pt idx="156">
                  <c:v>45224</c:v>
                </c:pt>
                <c:pt idx="157">
                  <c:v>45263</c:v>
                </c:pt>
                <c:pt idx="158">
                  <c:v>45063</c:v>
                </c:pt>
                <c:pt idx="159">
                  <c:v>45051</c:v>
                </c:pt>
                <c:pt idx="160">
                  <c:v>45181</c:v>
                </c:pt>
                <c:pt idx="161">
                  <c:v>45123</c:v>
                </c:pt>
                <c:pt idx="162">
                  <c:v>45275</c:v>
                </c:pt>
                <c:pt idx="163">
                  <c:v>45224</c:v>
                </c:pt>
                <c:pt idx="164">
                  <c:v>45045</c:v>
                </c:pt>
                <c:pt idx="165">
                  <c:v>45083</c:v>
                </c:pt>
                <c:pt idx="166">
                  <c:v>44974</c:v>
                </c:pt>
                <c:pt idx="167">
                  <c:v>45203</c:v>
                </c:pt>
                <c:pt idx="168">
                  <c:v>44928</c:v>
                </c:pt>
                <c:pt idx="169">
                  <c:v>44940</c:v>
                </c:pt>
                <c:pt idx="170">
                  <c:v>44953</c:v>
                </c:pt>
                <c:pt idx="171">
                  <c:v>45255</c:v>
                </c:pt>
                <c:pt idx="172">
                  <c:v>45292</c:v>
                </c:pt>
                <c:pt idx="173">
                  <c:v>45075</c:v>
                </c:pt>
                <c:pt idx="174">
                  <c:v>45231</c:v>
                </c:pt>
                <c:pt idx="175">
                  <c:v>45149</c:v>
                </c:pt>
                <c:pt idx="176">
                  <c:v>45038</c:v>
                </c:pt>
                <c:pt idx="177">
                  <c:v>45105</c:v>
                </c:pt>
                <c:pt idx="178">
                  <c:v>45043</c:v>
                </c:pt>
                <c:pt idx="179">
                  <c:v>45110</c:v>
                </c:pt>
                <c:pt idx="180">
                  <c:v>45106</c:v>
                </c:pt>
                <c:pt idx="181">
                  <c:v>45148</c:v>
                </c:pt>
                <c:pt idx="182">
                  <c:v>44983</c:v>
                </c:pt>
                <c:pt idx="183">
                  <c:v>45062</c:v>
                </c:pt>
                <c:pt idx="184">
                  <c:v>45008</c:v>
                </c:pt>
                <c:pt idx="185">
                  <c:v>45071</c:v>
                </c:pt>
                <c:pt idx="186">
                  <c:v>45003</c:v>
                </c:pt>
                <c:pt idx="187">
                  <c:v>45248</c:v>
                </c:pt>
                <c:pt idx="188">
                  <c:v>45202</c:v>
                </c:pt>
                <c:pt idx="189">
                  <c:v>45280</c:v>
                </c:pt>
                <c:pt idx="190">
                  <c:v>44990</c:v>
                </c:pt>
                <c:pt idx="191">
                  <c:v>44946</c:v>
                </c:pt>
                <c:pt idx="192">
                  <c:v>45016</c:v>
                </c:pt>
                <c:pt idx="193">
                  <c:v>45261</c:v>
                </c:pt>
                <c:pt idx="194">
                  <c:v>45032</c:v>
                </c:pt>
                <c:pt idx="195">
                  <c:v>44948</c:v>
                </c:pt>
                <c:pt idx="196">
                  <c:v>44947</c:v>
                </c:pt>
                <c:pt idx="197">
                  <c:v>45259</c:v>
                </c:pt>
                <c:pt idx="198">
                  <c:v>45003</c:v>
                </c:pt>
                <c:pt idx="199">
                  <c:v>45080</c:v>
                </c:pt>
                <c:pt idx="200">
                  <c:v>45219</c:v>
                </c:pt>
                <c:pt idx="201">
                  <c:v>45282</c:v>
                </c:pt>
                <c:pt idx="202">
                  <c:v>44955</c:v>
                </c:pt>
                <c:pt idx="203">
                  <c:v>45022</c:v>
                </c:pt>
                <c:pt idx="204">
                  <c:v>45257</c:v>
                </c:pt>
                <c:pt idx="205">
                  <c:v>45032</c:v>
                </c:pt>
                <c:pt idx="206">
                  <c:v>45074</c:v>
                </c:pt>
                <c:pt idx="207">
                  <c:v>45068</c:v>
                </c:pt>
                <c:pt idx="208">
                  <c:v>45138</c:v>
                </c:pt>
                <c:pt idx="209">
                  <c:v>44976</c:v>
                </c:pt>
                <c:pt idx="210">
                  <c:v>45119</c:v>
                </c:pt>
                <c:pt idx="211">
                  <c:v>45000</c:v>
                </c:pt>
                <c:pt idx="212">
                  <c:v>44967</c:v>
                </c:pt>
                <c:pt idx="213">
                  <c:v>45107</c:v>
                </c:pt>
                <c:pt idx="214">
                  <c:v>44996</c:v>
                </c:pt>
                <c:pt idx="215">
                  <c:v>45004</c:v>
                </c:pt>
                <c:pt idx="216">
                  <c:v>44995</c:v>
                </c:pt>
                <c:pt idx="217">
                  <c:v>45134</c:v>
                </c:pt>
                <c:pt idx="218">
                  <c:v>45093</c:v>
                </c:pt>
                <c:pt idx="219">
                  <c:v>45028</c:v>
                </c:pt>
                <c:pt idx="220">
                  <c:v>45182</c:v>
                </c:pt>
                <c:pt idx="221">
                  <c:v>45018</c:v>
                </c:pt>
                <c:pt idx="222">
                  <c:v>45012</c:v>
                </c:pt>
                <c:pt idx="223">
                  <c:v>45008</c:v>
                </c:pt>
                <c:pt idx="224">
                  <c:v>45211</c:v>
                </c:pt>
                <c:pt idx="225">
                  <c:v>45285</c:v>
                </c:pt>
                <c:pt idx="226">
                  <c:v>45260</c:v>
                </c:pt>
                <c:pt idx="227">
                  <c:v>45051</c:v>
                </c:pt>
                <c:pt idx="228">
                  <c:v>45133</c:v>
                </c:pt>
                <c:pt idx="229">
                  <c:v>44957</c:v>
                </c:pt>
                <c:pt idx="230">
                  <c:v>45083</c:v>
                </c:pt>
                <c:pt idx="231">
                  <c:v>45008</c:v>
                </c:pt>
                <c:pt idx="232">
                  <c:v>45077</c:v>
                </c:pt>
                <c:pt idx="233">
                  <c:v>45092</c:v>
                </c:pt>
                <c:pt idx="234">
                  <c:v>45054</c:v>
                </c:pt>
                <c:pt idx="235">
                  <c:v>45267</c:v>
                </c:pt>
                <c:pt idx="236">
                  <c:v>45001</c:v>
                </c:pt>
                <c:pt idx="237">
                  <c:v>44990</c:v>
                </c:pt>
                <c:pt idx="238">
                  <c:v>44997</c:v>
                </c:pt>
                <c:pt idx="239">
                  <c:v>45218</c:v>
                </c:pt>
                <c:pt idx="240">
                  <c:v>44945</c:v>
                </c:pt>
                <c:pt idx="241">
                  <c:v>44988</c:v>
                </c:pt>
                <c:pt idx="242">
                  <c:v>45245</c:v>
                </c:pt>
                <c:pt idx="243">
                  <c:v>45010</c:v>
                </c:pt>
                <c:pt idx="244">
                  <c:v>45177</c:v>
                </c:pt>
                <c:pt idx="245">
                  <c:v>45148</c:v>
                </c:pt>
                <c:pt idx="246">
                  <c:v>45193</c:v>
                </c:pt>
                <c:pt idx="247">
                  <c:v>45218</c:v>
                </c:pt>
                <c:pt idx="248">
                  <c:v>45040</c:v>
                </c:pt>
                <c:pt idx="249">
                  <c:v>45257</c:v>
                </c:pt>
                <c:pt idx="250">
                  <c:v>45205</c:v>
                </c:pt>
                <c:pt idx="251">
                  <c:v>44933</c:v>
                </c:pt>
                <c:pt idx="252">
                  <c:v>45255</c:v>
                </c:pt>
                <c:pt idx="253">
                  <c:v>45118</c:v>
                </c:pt>
                <c:pt idx="254">
                  <c:v>45239</c:v>
                </c:pt>
                <c:pt idx="255">
                  <c:v>45259</c:v>
                </c:pt>
                <c:pt idx="256">
                  <c:v>44996</c:v>
                </c:pt>
                <c:pt idx="257">
                  <c:v>44974</c:v>
                </c:pt>
                <c:pt idx="258">
                  <c:v>45111</c:v>
                </c:pt>
                <c:pt idx="259">
                  <c:v>45224</c:v>
                </c:pt>
                <c:pt idx="260">
                  <c:v>44975</c:v>
                </c:pt>
                <c:pt idx="261">
                  <c:v>44965</c:v>
                </c:pt>
                <c:pt idx="262">
                  <c:v>45193</c:v>
                </c:pt>
                <c:pt idx="263">
                  <c:v>45105</c:v>
                </c:pt>
                <c:pt idx="264">
                  <c:v>44937</c:v>
                </c:pt>
                <c:pt idx="265">
                  <c:v>45256</c:v>
                </c:pt>
                <c:pt idx="266">
                  <c:v>45274</c:v>
                </c:pt>
                <c:pt idx="267">
                  <c:v>44948</c:v>
                </c:pt>
                <c:pt idx="268">
                  <c:v>45185</c:v>
                </c:pt>
                <c:pt idx="269">
                  <c:v>45115</c:v>
                </c:pt>
                <c:pt idx="270">
                  <c:v>45095</c:v>
                </c:pt>
                <c:pt idx="271">
                  <c:v>45204</c:v>
                </c:pt>
                <c:pt idx="272">
                  <c:v>44957</c:v>
                </c:pt>
                <c:pt idx="273">
                  <c:v>45204</c:v>
                </c:pt>
                <c:pt idx="274">
                  <c:v>45289</c:v>
                </c:pt>
                <c:pt idx="275">
                  <c:v>45120</c:v>
                </c:pt>
                <c:pt idx="276">
                  <c:v>45201</c:v>
                </c:pt>
                <c:pt idx="277">
                  <c:v>45152</c:v>
                </c:pt>
                <c:pt idx="278">
                  <c:v>44983</c:v>
                </c:pt>
                <c:pt idx="279">
                  <c:v>45179</c:v>
                </c:pt>
                <c:pt idx="280">
                  <c:v>45144</c:v>
                </c:pt>
                <c:pt idx="281">
                  <c:v>44935</c:v>
                </c:pt>
                <c:pt idx="282">
                  <c:v>44938</c:v>
                </c:pt>
                <c:pt idx="283">
                  <c:v>45055</c:v>
                </c:pt>
                <c:pt idx="284">
                  <c:v>45200</c:v>
                </c:pt>
                <c:pt idx="285">
                  <c:v>44970</c:v>
                </c:pt>
                <c:pt idx="286">
                  <c:v>45047</c:v>
                </c:pt>
                <c:pt idx="287">
                  <c:v>44986</c:v>
                </c:pt>
                <c:pt idx="288">
                  <c:v>45087</c:v>
                </c:pt>
                <c:pt idx="289">
                  <c:v>44972</c:v>
                </c:pt>
                <c:pt idx="290">
                  <c:v>45211</c:v>
                </c:pt>
                <c:pt idx="291">
                  <c:v>44994</c:v>
                </c:pt>
                <c:pt idx="292">
                  <c:v>45229</c:v>
                </c:pt>
                <c:pt idx="293">
                  <c:v>45027</c:v>
                </c:pt>
                <c:pt idx="294">
                  <c:v>45033</c:v>
                </c:pt>
                <c:pt idx="295">
                  <c:v>45180</c:v>
                </c:pt>
                <c:pt idx="296">
                  <c:v>45077</c:v>
                </c:pt>
                <c:pt idx="297">
                  <c:v>44992</c:v>
                </c:pt>
                <c:pt idx="298">
                  <c:v>45134</c:v>
                </c:pt>
                <c:pt idx="299">
                  <c:v>45009</c:v>
                </c:pt>
                <c:pt idx="300">
                  <c:v>44994</c:v>
                </c:pt>
                <c:pt idx="301">
                  <c:v>45171</c:v>
                </c:pt>
                <c:pt idx="302">
                  <c:v>45057</c:v>
                </c:pt>
                <c:pt idx="303">
                  <c:v>45155</c:v>
                </c:pt>
                <c:pt idx="304">
                  <c:v>45057</c:v>
                </c:pt>
                <c:pt idx="305">
                  <c:v>45101</c:v>
                </c:pt>
                <c:pt idx="306">
                  <c:v>44967</c:v>
                </c:pt>
                <c:pt idx="307">
                  <c:v>45261</c:v>
                </c:pt>
                <c:pt idx="308">
                  <c:v>45171</c:v>
                </c:pt>
                <c:pt idx="309">
                  <c:v>44940</c:v>
                </c:pt>
                <c:pt idx="310">
                  <c:v>45199</c:v>
                </c:pt>
                <c:pt idx="311">
                  <c:v>45097</c:v>
                </c:pt>
                <c:pt idx="312">
                  <c:v>44947</c:v>
                </c:pt>
                <c:pt idx="313">
                  <c:v>45078</c:v>
                </c:pt>
                <c:pt idx="314">
                  <c:v>45106</c:v>
                </c:pt>
                <c:pt idx="315">
                  <c:v>44981</c:v>
                </c:pt>
                <c:pt idx="316">
                  <c:v>45076</c:v>
                </c:pt>
                <c:pt idx="317">
                  <c:v>45000</c:v>
                </c:pt>
                <c:pt idx="318">
                  <c:v>45289</c:v>
                </c:pt>
                <c:pt idx="319">
                  <c:v>45242</c:v>
                </c:pt>
                <c:pt idx="320">
                  <c:v>45259</c:v>
                </c:pt>
                <c:pt idx="321">
                  <c:v>44927</c:v>
                </c:pt>
                <c:pt idx="322">
                  <c:v>45165</c:v>
                </c:pt>
                <c:pt idx="323">
                  <c:v>45025</c:v>
                </c:pt>
                <c:pt idx="324">
                  <c:v>45276</c:v>
                </c:pt>
                <c:pt idx="325">
                  <c:v>45110</c:v>
                </c:pt>
                <c:pt idx="326">
                  <c:v>45031</c:v>
                </c:pt>
                <c:pt idx="327">
                  <c:v>45011</c:v>
                </c:pt>
                <c:pt idx="328">
                  <c:v>45244</c:v>
                </c:pt>
                <c:pt idx="329">
                  <c:v>45270</c:v>
                </c:pt>
                <c:pt idx="330">
                  <c:v>45167</c:v>
                </c:pt>
                <c:pt idx="331">
                  <c:v>45131</c:v>
                </c:pt>
                <c:pt idx="332">
                  <c:v>45056</c:v>
                </c:pt>
                <c:pt idx="333">
                  <c:v>45171</c:v>
                </c:pt>
                <c:pt idx="334">
                  <c:v>44967</c:v>
                </c:pt>
                <c:pt idx="335">
                  <c:v>44988</c:v>
                </c:pt>
                <c:pt idx="336">
                  <c:v>44998</c:v>
                </c:pt>
                <c:pt idx="337">
                  <c:v>45027</c:v>
                </c:pt>
                <c:pt idx="338">
                  <c:v>45048</c:v>
                </c:pt>
                <c:pt idx="339">
                  <c:v>45107</c:v>
                </c:pt>
                <c:pt idx="340">
                  <c:v>45171</c:v>
                </c:pt>
                <c:pt idx="341">
                  <c:v>45048</c:v>
                </c:pt>
                <c:pt idx="342">
                  <c:v>45282</c:v>
                </c:pt>
                <c:pt idx="343">
                  <c:v>45149</c:v>
                </c:pt>
                <c:pt idx="344">
                  <c:v>45042</c:v>
                </c:pt>
                <c:pt idx="345">
                  <c:v>45113</c:v>
                </c:pt>
                <c:pt idx="346">
                  <c:v>45199</c:v>
                </c:pt>
                <c:pt idx="347">
                  <c:v>45182</c:v>
                </c:pt>
                <c:pt idx="348">
                  <c:v>44963</c:v>
                </c:pt>
                <c:pt idx="349">
                  <c:v>45039</c:v>
                </c:pt>
                <c:pt idx="350">
                  <c:v>45267</c:v>
                </c:pt>
                <c:pt idx="351">
                  <c:v>45083</c:v>
                </c:pt>
                <c:pt idx="352">
                  <c:v>45172</c:v>
                </c:pt>
                <c:pt idx="353">
                  <c:v>45158</c:v>
                </c:pt>
                <c:pt idx="354">
                  <c:v>45288</c:v>
                </c:pt>
                <c:pt idx="355">
                  <c:v>45081</c:v>
                </c:pt>
                <c:pt idx="356">
                  <c:v>45173</c:v>
                </c:pt>
                <c:pt idx="357">
                  <c:v>45236</c:v>
                </c:pt>
                <c:pt idx="358">
                  <c:v>45193</c:v>
                </c:pt>
                <c:pt idx="359">
                  <c:v>44985</c:v>
                </c:pt>
                <c:pt idx="360">
                  <c:v>45122</c:v>
                </c:pt>
                <c:pt idx="361">
                  <c:v>45056</c:v>
                </c:pt>
                <c:pt idx="362">
                  <c:v>45190</c:v>
                </c:pt>
                <c:pt idx="363">
                  <c:v>45277</c:v>
                </c:pt>
                <c:pt idx="364">
                  <c:v>44935</c:v>
                </c:pt>
                <c:pt idx="365">
                  <c:v>44994</c:v>
                </c:pt>
                <c:pt idx="366">
                  <c:v>45179</c:v>
                </c:pt>
                <c:pt idx="367">
                  <c:v>45005</c:v>
                </c:pt>
                <c:pt idx="368">
                  <c:v>45065</c:v>
                </c:pt>
                <c:pt idx="369">
                  <c:v>45216</c:v>
                </c:pt>
                <c:pt idx="370">
                  <c:v>44928</c:v>
                </c:pt>
                <c:pt idx="371">
                  <c:v>45124</c:v>
                </c:pt>
                <c:pt idx="372">
                  <c:v>45278</c:v>
                </c:pt>
                <c:pt idx="373">
                  <c:v>45274</c:v>
                </c:pt>
                <c:pt idx="374">
                  <c:v>45226</c:v>
                </c:pt>
                <c:pt idx="375">
                  <c:v>45152</c:v>
                </c:pt>
                <c:pt idx="376">
                  <c:v>44975</c:v>
                </c:pt>
                <c:pt idx="377">
                  <c:v>44935</c:v>
                </c:pt>
                <c:pt idx="378">
                  <c:v>45287</c:v>
                </c:pt>
                <c:pt idx="379">
                  <c:v>44986</c:v>
                </c:pt>
                <c:pt idx="380">
                  <c:v>45031</c:v>
                </c:pt>
                <c:pt idx="381">
                  <c:v>45266</c:v>
                </c:pt>
                <c:pt idx="382">
                  <c:v>44947</c:v>
                </c:pt>
                <c:pt idx="383">
                  <c:v>45060</c:v>
                </c:pt>
                <c:pt idx="384">
                  <c:v>44937</c:v>
                </c:pt>
                <c:pt idx="385">
                  <c:v>45141</c:v>
                </c:pt>
                <c:pt idx="386">
                  <c:v>45237</c:v>
                </c:pt>
                <c:pt idx="387">
                  <c:v>45152</c:v>
                </c:pt>
                <c:pt idx="388">
                  <c:v>45070</c:v>
                </c:pt>
                <c:pt idx="389">
                  <c:v>45221</c:v>
                </c:pt>
                <c:pt idx="390">
                  <c:v>45029</c:v>
                </c:pt>
                <c:pt idx="391">
                  <c:v>45136</c:v>
                </c:pt>
                <c:pt idx="392">
                  <c:v>45160</c:v>
                </c:pt>
                <c:pt idx="393">
                  <c:v>45276</c:v>
                </c:pt>
                <c:pt idx="394">
                  <c:v>45138</c:v>
                </c:pt>
                <c:pt idx="395">
                  <c:v>44932</c:v>
                </c:pt>
                <c:pt idx="396">
                  <c:v>45221</c:v>
                </c:pt>
                <c:pt idx="397">
                  <c:v>45174</c:v>
                </c:pt>
                <c:pt idx="398">
                  <c:v>44956</c:v>
                </c:pt>
                <c:pt idx="399">
                  <c:v>45040</c:v>
                </c:pt>
                <c:pt idx="400">
                  <c:v>44939</c:v>
                </c:pt>
                <c:pt idx="401">
                  <c:v>45202</c:v>
                </c:pt>
                <c:pt idx="402">
                  <c:v>45226</c:v>
                </c:pt>
                <c:pt idx="403">
                  <c:v>45133</c:v>
                </c:pt>
                <c:pt idx="404">
                  <c:v>45017</c:v>
                </c:pt>
                <c:pt idx="405">
                  <c:v>44963</c:v>
                </c:pt>
                <c:pt idx="406">
                  <c:v>45060</c:v>
                </c:pt>
                <c:pt idx="407">
                  <c:v>45098</c:v>
                </c:pt>
                <c:pt idx="408">
                  <c:v>44955</c:v>
                </c:pt>
                <c:pt idx="409">
                  <c:v>45098</c:v>
                </c:pt>
                <c:pt idx="410">
                  <c:v>45138</c:v>
                </c:pt>
                <c:pt idx="411">
                  <c:v>44970</c:v>
                </c:pt>
                <c:pt idx="412">
                  <c:v>44988</c:v>
                </c:pt>
                <c:pt idx="413">
                  <c:v>45069</c:v>
                </c:pt>
                <c:pt idx="414">
                  <c:v>45201</c:v>
                </c:pt>
                <c:pt idx="415">
                  <c:v>45200</c:v>
                </c:pt>
                <c:pt idx="416">
                  <c:v>45082</c:v>
                </c:pt>
                <c:pt idx="417">
                  <c:v>45190</c:v>
                </c:pt>
                <c:pt idx="418">
                  <c:v>45012</c:v>
                </c:pt>
                <c:pt idx="419">
                  <c:v>45257</c:v>
                </c:pt>
                <c:pt idx="420">
                  <c:v>45125</c:v>
                </c:pt>
                <c:pt idx="421">
                  <c:v>45076</c:v>
                </c:pt>
                <c:pt idx="422">
                  <c:v>45034</c:v>
                </c:pt>
                <c:pt idx="423">
                  <c:v>45201</c:v>
                </c:pt>
                <c:pt idx="424">
                  <c:v>45095</c:v>
                </c:pt>
                <c:pt idx="425">
                  <c:v>45136</c:v>
                </c:pt>
                <c:pt idx="426">
                  <c:v>45078</c:v>
                </c:pt>
                <c:pt idx="427">
                  <c:v>44979</c:v>
                </c:pt>
                <c:pt idx="428">
                  <c:v>45092</c:v>
                </c:pt>
                <c:pt idx="429">
                  <c:v>44962</c:v>
                </c:pt>
                <c:pt idx="430">
                  <c:v>45086</c:v>
                </c:pt>
                <c:pt idx="431">
                  <c:v>44930</c:v>
                </c:pt>
                <c:pt idx="432">
                  <c:v>45009</c:v>
                </c:pt>
                <c:pt idx="433">
                  <c:v>45285</c:v>
                </c:pt>
                <c:pt idx="434">
                  <c:v>45128</c:v>
                </c:pt>
                <c:pt idx="435">
                  <c:v>45193</c:v>
                </c:pt>
                <c:pt idx="436">
                  <c:v>44942</c:v>
                </c:pt>
                <c:pt idx="437">
                  <c:v>44937</c:v>
                </c:pt>
                <c:pt idx="438">
                  <c:v>45085</c:v>
                </c:pt>
                <c:pt idx="439">
                  <c:v>45118</c:v>
                </c:pt>
                <c:pt idx="440">
                  <c:v>44977</c:v>
                </c:pt>
                <c:pt idx="441">
                  <c:v>45218</c:v>
                </c:pt>
                <c:pt idx="442">
                  <c:v>45149</c:v>
                </c:pt>
                <c:pt idx="443">
                  <c:v>45206</c:v>
                </c:pt>
                <c:pt idx="444">
                  <c:v>45158</c:v>
                </c:pt>
                <c:pt idx="445">
                  <c:v>45020</c:v>
                </c:pt>
                <c:pt idx="446">
                  <c:v>45030</c:v>
                </c:pt>
                <c:pt idx="447">
                  <c:v>44964</c:v>
                </c:pt>
                <c:pt idx="448">
                  <c:v>45088</c:v>
                </c:pt>
                <c:pt idx="449">
                  <c:v>45058</c:v>
                </c:pt>
                <c:pt idx="450">
                  <c:v>45248</c:v>
                </c:pt>
                <c:pt idx="451">
                  <c:v>44982</c:v>
                </c:pt>
                <c:pt idx="452">
                  <c:v>45200</c:v>
                </c:pt>
                <c:pt idx="453">
                  <c:v>45045</c:v>
                </c:pt>
                <c:pt idx="454">
                  <c:v>44949</c:v>
                </c:pt>
                <c:pt idx="455">
                  <c:v>45059</c:v>
                </c:pt>
                <c:pt idx="456">
                  <c:v>44978</c:v>
                </c:pt>
                <c:pt idx="457">
                  <c:v>45185</c:v>
                </c:pt>
                <c:pt idx="458">
                  <c:v>45056</c:v>
                </c:pt>
                <c:pt idx="459">
                  <c:v>45236</c:v>
                </c:pt>
                <c:pt idx="460">
                  <c:v>44931</c:v>
                </c:pt>
                <c:pt idx="461">
                  <c:v>45039</c:v>
                </c:pt>
                <c:pt idx="462">
                  <c:v>44938</c:v>
                </c:pt>
                <c:pt idx="463">
                  <c:v>45197</c:v>
                </c:pt>
                <c:pt idx="464">
                  <c:v>44948</c:v>
                </c:pt>
                <c:pt idx="465">
                  <c:v>45215</c:v>
                </c:pt>
                <c:pt idx="466">
                  <c:v>45036</c:v>
                </c:pt>
                <c:pt idx="467">
                  <c:v>44959</c:v>
                </c:pt>
                <c:pt idx="468">
                  <c:v>45229</c:v>
                </c:pt>
                <c:pt idx="469">
                  <c:v>44953</c:v>
                </c:pt>
                <c:pt idx="470">
                  <c:v>44992</c:v>
                </c:pt>
                <c:pt idx="471">
                  <c:v>44930</c:v>
                </c:pt>
                <c:pt idx="472">
                  <c:v>45066</c:v>
                </c:pt>
                <c:pt idx="473">
                  <c:v>45212</c:v>
                </c:pt>
                <c:pt idx="474">
                  <c:v>45278</c:v>
                </c:pt>
                <c:pt idx="475">
                  <c:v>45124</c:v>
                </c:pt>
                <c:pt idx="476">
                  <c:v>45085</c:v>
                </c:pt>
                <c:pt idx="477">
                  <c:v>45094</c:v>
                </c:pt>
                <c:pt idx="478">
                  <c:v>45213</c:v>
                </c:pt>
                <c:pt idx="479">
                  <c:v>45008</c:v>
                </c:pt>
                <c:pt idx="480">
                  <c:v>45029</c:v>
                </c:pt>
                <c:pt idx="481">
                  <c:v>45138</c:v>
                </c:pt>
                <c:pt idx="482">
                  <c:v>44958</c:v>
                </c:pt>
                <c:pt idx="483">
                  <c:v>44946</c:v>
                </c:pt>
                <c:pt idx="484">
                  <c:v>45251</c:v>
                </c:pt>
                <c:pt idx="485">
                  <c:v>45008</c:v>
                </c:pt>
                <c:pt idx="486">
                  <c:v>44958</c:v>
                </c:pt>
                <c:pt idx="487">
                  <c:v>45093</c:v>
                </c:pt>
                <c:pt idx="488">
                  <c:v>45031</c:v>
                </c:pt>
                <c:pt idx="489">
                  <c:v>44966</c:v>
                </c:pt>
                <c:pt idx="490">
                  <c:v>45134</c:v>
                </c:pt>
                <c:pt idx="491">
                  <c:v>45261</c:v>
                </c:pt>
                <c:pt idx="492">
                  <c:v>44978</c:v>
                </c:pt>
                <c:pt idx="493">
                  <c:v>44996</c:v>
                </c:pt>
                <c:pt idx="494">
                  <c:v>45256</c:v>
                </c:pt>
                <c:pt idx="495">
                  <c:v>45126</c:v>
                </c:pt>
                <c:pt idx="496">
                  <c:v>45140</c:v>
                </c:pt>
                <c:pt idx="497">
                  <c:v>45092</c:v>
                </c:pt>
                <c:pt idx="498">
                  <c:v>45063</c:v>
                </c:pt>
                <c:pt idx="499">
                  <c:v>45065</c:v>
                </c:pt>
                <c:pt idx="500">
                  <c:v>45261</c:v>
                </c:pt>
                <c:pt idx="501">
                  <c:v>45255</c:v>
                </c:pt>
                <c:pt idx="502">
                  <c:v>45117</c:v>
                </c:pt>
                <c:pt idx="503">
                  <c:v>45126</c:v>
                </c:pt>
                <c:pt idx="504">
                  <c:v>45232</c:v>
                </c:pt>
                <c:pt idx="505">
                  <c:v>45204</c:v>
                </c:pt>
                <c:pt idx="506">
                  <c:v>44949</c:v>
                </c:pt>
                <c:pt idx="507">
                  <c:v>45092</c:v>
                </c:pt>
                <c:pt idx="508">
                  <c:v>45059</c:v>
                </c:pt>
                <c:pt idx="509">
                  <c:v>44952</c:v>
                </c:pt>
                <c:pt idx="510">
                  <c:v>45041</c:v>
                </c:pt>
                <c:pt idx="511">
                  <c:v>45252</c:v>
                </c:pt>
                <c:pt idx="512">
                  <c:v>45238</c:v>
                </c:pt>
                <c:pt idx="513">
                  <c:v>45141</c:v>
                </c:pt>
                <c:pt idx="514">
                  <c:v>45266</c:v>
                </c:pt>
                <c:pt idx="515">
                  <c:v>45264</c:v>
                </c:pt>
                <c:pt idx="516">
                  <c:v>45267</c:v>
                </c:pt>
                <c:pt idx="517">
                  <c:v>44993</c:v>
                </c:pt>
                <c:pt idx="518">
                  <c:v>45232</c:v>
                </c:pt>
                <c:pt idx="519">
                  <c:v>44945</c:v>
                </c:pt>
                <c:pt idx="520">
                  <c:v>45010</c:v>
                </c:pt>
                <c:pt idx="521">
                  <c:v>45144</c:v>
                </c:pt>
                <c:pt idx="522">
                  <c:v>45040</c:v>
                </c:pt>
                <c:pt idx="523">
                  <c:v>44969</c:v>
                </c:pt>
                <c:pt idx="524">
                  <c:v>44960</c:v>
                </c:pt>
                <c:pt idx="525">
                  <c:v>45288</c:v>
                </c:pt>
                <c:pt idx="526">
                  <c:v>45160</c:v>
                </c:pt>
                <c:pt idx="527">
                  <c:v>45061</c:v>
                </c:pt>
                <c:pt idx="528">
                  <c:v>45202</c:v>
                </c:pt>
                <c:pt idx="529">
                  <c:v>45240</c:v>
                </c:pt>
                <c:pt idx="530">
                  <c:v>45091</c:v>
                </c:pt>
                <c:pt idx="531">
                  <c:v>45045</c:v>
                </c:pt>
                <c:pt idx="532">
                  <c:v>45050</c:v>
                </c:pt>
                <c:pt idx="533">
                  <c:v>45024</c:v>
                </c:pt>
                <c:pt idx="534">
                  <c:v>44948</c:v>
                </c:pt>
                <c:pt idx="535">
                  <c:v>45022</c:v>
                </c:pt>
                <c:pt idx="536">
                  <c:v>45085</c:v>
                </c:pt>
                <c:pt idx="537">
                  <c:v>44946</c:v>
                </c:pt>
                <c:pt idx="538">
                  <c:v>45086</c:v>
                </c:pt>
                <c:pt idx="539">
                  <c:v>45071</c:v>
                </c:pt>
                <c:pt idx="540">
                  <c:v>45044</c:v>
                </c:pt>
                <c:pt idx="541">
                  <c:v>45135</c:v>
                </c:pt>
                <c:pt idx="542">
                  <c:v>45033</c:v>
                </c:pt>
                <c:pt idx="543">
                  <c:v>45069</c:v>
                </c:pt>
                <c:pt idx="544">
                  <c:v>44942</c:v>
                </c:pt>
                <c:pt idx="545">
                  <c:v>45102</c:v>
                </c:pt>
                <c:pt idx="546">
                  <c:v>44935</c:v>
                </c:pt>
                <c:pt idx="547">
                  <c:v>45179</c:v>
                </c:pt>
                <c:pt idx="548">
                  <c:v>45248</c:v>
                </c:pt>
                <c:pt idx="549">
                  <c:v>45234</c:v>
                </c:pt>
                <c:pt idx="550">
                  <c:v>44982</c:v>
                </c:pt>
                <c:pt idx="551">
                  <c:v>45135</c:v>
                </c:pt>
                <c:pt idx="552">
                  <c:v>45245</c:v>
                </c:pt>
                <c:pt idx="553">
                  <c:v>45055</c:v>
                </c:pt>
                <c:pt idx="554">
                  <c:v>45025</c:v>
                </c:pt>
                <c:pt idx="555">
                  <c:v>45137</c:v>
                </c:pt>
                <c:pt idx="556">
                  <c:v>45178</c:v>
                </c:pt>
                <c:pt idx="557">
                  <c:v>45171</c:v>
                </c:pt>
                <c:pt idx="558">
                  <c:v>44994</c:v>
                </c:pt>
                <c:pt idx="559">
                  <c:v>45186</c:v>
                </c:pt>
                <c:pt idx="560">
                  <c:v>45252</c:v>
                </c:pt>
                <c:pt idx="561">
                  <c:v>44927</c:v>
                </c:pt>
                <c:pt idx="562">
                  <c:v>45007</c:v>
                </c:pt>
                <c:pt idx="563">
                  <c:v>45070</c:v>
                </c:pt>
                <c:pt idx="564">
                  <c:v>45109</c:v>
                </c:pt>
                <c:pt idx="565">
                  <c:v>45069</c:v>
                </c:pt>
                <c:pt idx="566">
                  <c:v>45024</c:v>
                </c:pt>
                <c:pt idx="567">
                  <c:v>45080</c:v>
                </c:pt>
                <c:pt idx="568">
                  <c:v>45182</c:v>
                </c:pt>
                <c:pt idx="569">
                  <c:v>45195</c:v>
                </c:pt>
                <c:pt idx="570">
                  <c:v>45162</c:v>
                </c:pt>
                <c:pt idx="571">
                  <c:v>45201</c:v>
                </c:pt>
                <c:pt idx="572">
                  <c:v>44981</c:v>
                </c:pt>
                <c:pt idx="573">
                  <c:v>45035</c:v>
                </c:pt>
                <c:pt idx="574">
                  <c:v>44997</c:v>
                </c:pt>
                <c:pt idx="575">
                  <c:v>45148</c:v>
                </c:pt>
                <c:pt idx="576">
                  <c:v>45115</c:v>
                </c:pt>
                <c:pt idx="577">
                  <c:v>45043</c:v>
                </c:pt>
                <c:pt idx="578">
                  <c:v>45248</c:v>
                </c:pt>
                <c:pt idx="579">
                  <c:v>45215</c:v>
                </c:pt>
                <c:pt idx="580">
                  <c:v>45181</c:v>
                </c:pt>
                <c:pt idx="581">
                  <c:v>45215</c:v>
                </c:pt>
                <c:pt idx="582">
                  <c:v>45262</c:v>
                </c:pt>
                <c:pt idx="583">
                  <c:v>45046</c:v>
                </c:pt>
                <c:pt idx="584">
                  <c:v>45182</c:v>
                </c:pt>
                <c:pt idx="585">
                  <c:v>45041</c:v>
                </c:pt>
                <c:pt idx="586">
                  <c:v>45028</c:v>
                </c:pt>
                <c:pt idx="587">
                  <c:v>45011</c:v>
                </c:pt>
                <c:pt idx="588">
                  <c:v>45091</c:v>
                </c:pt>
                <c:pt idx="589">
                  <c:v>45180</c:v>
                </c:pt>
                <c:pt idx="590">
                  <c:v>45063</c:v>
                </c:pt>
                <c:pt idx="591">
                  <c:v>45207</c:v>
                </c:pt>
                <c:pt idx="592">
                  <c:v>45156</c:v>
                </c:pt>
                <c:pt idx="593">
                  <c:v>45206</c:v>
                </c:pt>
                <c:pt idx="594">
                  <c:v>45036</c:v>
                </c:pt>
                <c:pt idx="595">
                  <c:v>45222</c:v>
                </c:pt>
                <c:pt idx="596">
                  <c:v>45160</c:v>
                </c:pt>
                <c:pt idx="597">
                  <c:v>44931</c:v>
                </c:pt>
                <c:pt idx="598">
                  <c:v>45284</c:v>
                </c:pt>
                <c:pt idx="599">
                  <c:v>44936</c:v>
                </c:pt>
                <c:pt idx="600">
                  <c:v>45065</c:v>
                </c:pt>
                <c:pt idx="601">
                  <c:v>45058</c:v>
                </c:pt>
                <c:pt idx="602">
                  <c:v>45250</c:v>
                </c:pt>
                <c:pt idx="603">
                  <c:v>45262</c:v>
                </c:pt>
                <c:pt idx="604">
                  <c:v>44973</c:v>
                </c:pt>
                <c:pt idx="605">
                  <c:v>45103</c:v>
                </c:pt>
                <c:pt idx="606">
                  <c:v>45054</c:v>
                </c:pt>
                <c:pt idx="607">
                  <c:v>45101</c:v>
                </c:pt>
                <c:pt idx="608">
                  <c:v>44963</c:v>
                </c:pt>
                <c:pt idx="609">
                  <c:v>44956</c:v>
                </c:pt>
                <c:pt idx="610">
                  <c:v>45023</c:v>
                </c:pt>
                <c:pt idx="611">
                  <c:v>44950</c:v>
                </c:pt>
                <c:pt idx="612">
                  <c:v>45132</c:v>
                </c:pt>
                <c:pt idx="613">
                  <c:v>45097</c:v>
                </c:pt>
                <c:pt idx="614">
                  <c:v>45127</c:v>
                </c:pt>
                <c:pt idx="615">
                  <c:v>45099</c:v>
                </c:pt>
                <c:pt idx="616">
                  <c:v>45252</c:v>
                </c:pt>
                <c:pt idx="617">
                  <c:v>45107</c:v>
                </c:pt>
                <c:pt idx="618">
                  <c:v>45240</c:v>
                </c:pt>
                <c:pt idx="619">
                  <c:v>45082</c:v>
                </c:pt>
                <c:pt idx="620">
                  <c:v>45270</c:v>
                </c:pt>
                <c:pt idx="621">
                  <c:v>45064</c:v>
                </c:pt>
                <c:pt idx="622">
                  <c:v>44977</c:v>
                </c:pt>
                <c:pt idx="623">
                  <c:v>45147</c:v>
                </c:pt>
                <c:pt idx="624">
                  <c:v>45025</c:v>
                </c:pt>
                <c:pt idx="625">
                  <c:v>45043</c:v>
                </c:pt>
                <c:pt idx="626">
                  <c:v>45052</c:v>
                </c:pt>
                <c:pt idx="627">
                  <c:v>45124</c:v>
                </c:pt>
                <c:pt idx="628">
                  <c:v>45037</c:v>
                </c:pt>
                <c:pt idx="629">
                  <c:v>45221</c:v>
                </c:pt>
                <c:pt idx="630">
                  <c:v>45264</c:v>
                </c:pt>
                <c:pt idx="631">
                  <c:v>45125</c:v>
                </c:pt>
                <c:pt idx="632">
                  <c:v>45167</c:v>
                </c:pt>
                <c:pt idx="633">
                  <c:v>45099</c:v>
                </c:pt>
                <c:pt idx="634">
                  <c:v>45271</c:v>
                </c:pt>
                <c:pt idx="635">
                  <c:v>45292</c:v>
                </c:pt>
                <c:pt idx="636">
                  <c:v>45019</c:v>
                </c:pt>
                <c:pt idx="637">
                  <c:v>45022</c:v>
                </c:pt>
                <c:pt idx="638">
                  <c:v>45194</c:v>
                </c:pt>
                <c:pt idx="639">
                  <c:v>45253</c:v>
                </c:pt>
                <c:pt idx="640">
                  <c:v>45222</c:v>
                </c:pt>
                <c:pt idx="641">
                  <c:v>45014</c:v>
                </c:pt>
                <c:pt idx="642">
                  <c:v>45266</c:v>
                </c:pt>
                <c:pt idx="643">
                  <c:v>45286</c:v>
                </c:pt>
                <c:pt idx="644">
                  <c:v>45064</c:v>
                </c:pt>
                <c:pt idx="645">
                  <c:v>45251</c:v>
                </c:pt>
                <c:pt idx="646">
                  <c:v>44977</c:v>
                </c:pt>
                <c:pt idx="647">
                  <c:v>45182</c:v>
                </c:pt>
                <c:pt idx="648">
                  <c:v>45200</c:v>
                </c:pt>
                <c:pt idx="649">
                  <c:v>45008</c:v>
                </c:pt>
                <c:pt idx="650">
                  <c:v>44997</c:v>
                </c:pt>
                <c:pt idx="651">
                  <c:v>44974</c:v>
                </c:pt>
                <c:pt idx="652">
                  <c:v>44958</c:v>
                </c:pt>
                <c:pt idx="653">
                  <c:v>45031</c:v>
                </c:pt>
                <c:pt idx="654">
                  <c:v>45046</c:v>
                </c:pt>
                <c:pt idx="655">
                  <c:v>45102</c:v>
                </c:pt>
                <c:pt idx="656">
                  <c:v>45070</c:v>
                </c:pt>
                <c:pt idx="657">
                  <c:v>44966</c:v>
                </c:pt>
                <c:pt idx="658">
                  <c:v>45056</c:v>
                </c:pt>
                <c:pt idx="659">
                  <c:v>44951</c:v>
                </c:pt>
                <c:pt idx="660">
                  <c:v>45041</c:v>
                </c:pt>
                <c:pt idx="661">
                  <c:v>45035</c:v>
                </c:pt>
                <c:pt idx="662">
                  <c:v>44994</c:v>
                </c:pt>
                <c:pt idx="663">
                  <c:v>44998</c:v>
                </c:pt>
                <c:pt idx="664">
                  <c:v>44951</c:v>
                </c:pt>
                <c:pt idx="665">
                  <c:v>45000</c:v>
                </c:pt>
                <c:pt idx="666">
                  <c:v>45284</c:v>
                </c:pt>
                <c:pt idx="667">
                  <c:v>45245</c:v>
                </c:pt>
                <c:pt idx="668">
                  <c:v>45040</c:v>
                </c:pt>
                <c:pt idx="669">
                  <c:v>45218</c:v>
                </c:pt>
                <c:pt idx="670">
                  <c:v>45215</c:v>
                </c:pt>
                <c:pt idx="671">
                  <c:v>45123</c:v>
                </c:pt>
                <c:pt idx="672">
                  <c:v>44989</c:v>
                </c:pt>
                <c:pt idx="673">
                  <c:v>44978</c:v>
                </c:pt>
                <c:pt idx="674">
                  <c:v>45177</c:v>
                </c:pt>
                <c:pt idx="675">
                  <c:v>44951</c:v>
                </c:pt>
                <c:pt idx="676">
                  <c:v>45030</c:v>
                </c:pt>
                <c:pt idx="677">
                  <c:v>44931</c:v>
                </c:pt>
                <c:pt idx="678">
                  <c:v>45210</c:v>
                </c:pt>
                <c:pt idx="679">
                  <c:v>44934</c:v>
                </c:pt>
                <c:pt idx="680">
                  <c:v>45275</c:v>
                </c:pt>
                <c:pt idx="681">
                  <c:v>45043</c:v>
                </c:pt>
                <c:pt idx="682">
                  <c:v>45259</c:v>
                </c:pt>
                <c:pt idx="683">
                  <c:v>44937</c:v>
                </c:pt>
                <c:pt idx="684">
                  <c:v>45283</c:v>
                </c:pt>
                <c:pt idx="685">
                  <c:v>45180</c:v>
                </c:pt>
                <c:pt idx="686">
                  <c:v>45013</c:v>
                </c:pt>
                <c:pt idx="687">
                  <c:v>45015</c:v>
                </c:pt>
                <c:pt idx="688">
                  <c:v>45245</c:v>
                </c:pt>
                <c:pt idx="689">
                  <c:v>45072</c:v>
                </c:pt>
                <c:pt idx="690">
                  <c:v>45252</c:v>
                </c:pt>
                <c:pt idx="691">
                  <c:v>44969</c:v>
                </c:pt>
                <c:pt idx="692">
                  <c:v>45205</c:v>
                </c:pt>
                <c:pt idx="693">
                  <c:v>45027</c:v>
                </c:pt>
                <c:pt idx="694">
                  <c:v>44960</c:v>
                </c:pt>
                <c:pt idx="695">
                  <c:v>45022</c:v>
                </c:pt>
                <c:pt idx="696">
                  <c:v>45106</c:v>
                </c:pt>
                <c:pt idx="697">
                  <c:v>45231</c:v>
                </c:pt>
                <c:pt idx="698">
                  <c:v>45077</c:v>
                </c:pt>
                <c:pt idx="699">
                  <c:v>44948</c:v>
                </c:pt>
                <c:pt idx="700">
                  <c:v>44984</c:v>
                </c:pt>
                <c:pt idx="701">
                  <c:v>45169</c:v>
                </c:pt>
                <c:pt idx="702">
                  <c:v>45252</c:v>
                </c:pt>
                <c:pt idx="703">
                  <c:v>45231</c:v>
                </c:pt>
                <c:pt idx="704">
                  <c:v>44935</c:v>
                </c:pt>
                <c:pt idx="705">
                  <c:v>45054</c:v>
                </c:pt>
                <c:pt idx="706">
                  <c:v>45209</c:v>
                </c:pt>
                <c:pt idx="707">
                  <c:v>44949</c:v>
                </c:pt>
                <c:pt idx="708">
                  <c:v>45125</c:v>
                </c:pt>
                <c:pt idx="709">
                  <c:v>44956</c:v>
                </c:pt>
                <c:pt idx="710">
                  <c:v>44946</c:v>
                </c:pt>
                <c:pt idx="711">
                  <c:v>45017</c:v>
                </c:pt>
                <c:pt idx="712">
                  <c:v>45164</c:v>
                </c:pt>
                <c:pt idx="713">
                  <c:v>45048</c:v>
                </c:pt>
                <c:pt idx="714">
                  <c:v>45148</c:v>
                </c:pt>
                <c:pt idx="715">
                  <c:v>45268</c:v>
                </c:pt>
                <c:pt idx="716">
                  <c:v>45271</c:v>
                </c:pt>
                <c:pt idx="717">
                  <c:v>44947</c:v>
                </c:pt>
                <c:pt idx="718">
                  <c:v>44982</c:v>
                </c:pt>
                <c:pt idx="719">
                  <c:v>45240</c:v>
                </c:pt>
                <c:pt idx="720">
                  <c:v>44998</c:v>
                </c:pt>
                <c:pt idx="721">
                  <c:v>44966</c:v>
                </c:pt>
                <c:pt idx="722">
                  <c:v>45040</c:v>
                </c:pt>
                <c:pt idx="723">
                  <c:v>45065</c:v>
                </c:pt>
                <c:pt idx="724">
                  <c:v>45171</c:v>
                </c:pt>
                <c:pt idx="725">
                  <c:v>45257</c:v>
                </c:pt>
                <c:pt idx="726">
                  <c:v>45275</c:v>
                </c:pt>
                <c:pt idx="727">
                  <c:v>44952</c:v>
                </c:pt>
                <c:pt idx="728">
                  <c:v>45149</c:v>
                </c:pt>
                <c:pt idx="729">
                  <c:v>45083</c:v>
                </c:pt>
                <c:pt idx="730">
                  <c:v>45220</c:v>
                </c:pt>
                <c:pt idx="731">
                  <c:v>45196</c:v>
                </c:pt>
                <c:pt idx="732">
                  <c:v>45046</c:v>
                </c:pt>
                <c:pt idx="733">
                  <c:v>45284</c:v>
                </c:pt>
                <c:pt idx="734">
                  <c:v>45182</c:v>
                </c:pt>
                <c:pt idx="735">
                  <c:v>44969</c:v>
                </c:pt>
                <c:pt idx="736">
                  <c:v>45005</c:v>
                </c:pt>
                <c:pt idx="737">
                  <c:v>45166</c:v>
                </c:pt>
                <c:pt idx="738">
                  <c:v>45102</c:v>
                </c:pt>
                <c:pt idx="739">
                  <c:v>44965</c:v>
                </c:pt>
                <c:pt idx="740">
                  <c:v>45133</c:v>
                </c:pt>
                <c:pt idx="741">
                  <c:v>44986</c:v>
                </c:pt>
                <c:pt idx="742">
                  <c:v>45063</c:v>
                </c:pt>
                <c:pt idx="743">
                  <c:v>44972</c:v>
                </c:pt>
                <c:pt idx="744">
                  <c:v>45077</c:v>
                </c:pt>
                <c:pt idx="745">
                  <c:v>45099</c:v>
                </c:pt>
                <c:pt idx="746">
                  <c:v>45292</c:v>
                </c:pt>
                <c:pt idx="747">
                  <c:v>45115</c:v>
                </c:pt>
                <c:pt idx="748">
                  <c:v>45096</c:v>
                </c:pt>
                <c:pt idx="749">
                  <c:v>45192</c:v>
                </c:pt>
                <c:pt idx="750">
                  <c:v>45266</c:v>
                </c:pt>
                <c:pt idx="751">
                  <c:v>45154</c:v>
                </c:pt>
                <c:pt idx="752">
                  <c:v>45232</c:v>
                </c:pt>
                <c:pt idx="753">
                  <c:v>45107</c:v>
                </c:pt>
                <c:pt idx="754">
                  <c:v>45069</c:v>
                </c:pt>
                <c:pt idx="755">
                  <c:v>45287</c:v>
                </c:pt>
                <c:pt idx="756">
                  <c:v>45154</c:v>
                </c:pt>
                <c:pt idx="757">
                  <c:v>45253</c:v>
                </c:pt>
                <c:pt idx="758">
                  <c:v>45099</c:v>
                </c:pt>
                <c:pt idx="759">
                  <c:v>45217</c:v>
                </c:pt>
                <c:pt idx="760">
                  <c:v>45027</c:v>
                </c:pt>
                <c:pt idx="761">
                  <c:v>45242</c:v>
                </c:pt>
                <c:pt idx="762">
                  <c:v>45101</c:v>
                </c:pt>
                <c:pt idx="763">
                  <c:v>44974</c:v>
                </c:pt>
                <c:pt idx="764">
                  <c:v>45021</c:v>
                </c:pt>
                <c:pt idx="765">
                  <c:v>44928</c:v>
                </c:pt>
                <c:pt idx="766">
                  <c:v>45259</c:v>
                </c:pt>
                <c:pt idx="767">
                  <c:v>44964</c:v>
                </c:pt>
                <c:pt idx="768">
                  <c:v>44996</c:v>
                </c:pt>
                <c:pt idx="769">
                  <c:v>45274</c:v>
                </c:pt>
                <c:pt idx="770">
                  <c:v>45191</c:v>
                </c:pt>
                <c:pt idx="771">
                  <c:v>45006</c:v>
                </c:pt>
                <c:pt idx="772">
                  <c:v>45271</c:v>
                </c:pt>
                <c:pt idx="773">
                  <c:v>45186</c:v>
                </c:pt>
                <c:pt idx="774">
                  <c:v>45053</c:v>
                </c:pt>
                <c:pt idx="775">
                  <c:v>44955</c:v>
                </c:pt>
                <c:pt idx="776">
                  <c:v>45007</c:v>
                </c:pt>
                <c:pt idx="777">
                  <c:v>44975</c:v>
                </c:pt>
                <c:pt idx="778">
                  <c:v>45197</c:v>
                </c:pt>
                <c:pt idx="779">
                  <c:v>45059</c:v>
                </c:pt>
                <c:pt idx="780">
                  <c:v>45121</c:v>
                </c:pt>
                <c:pt idx="781">
                  <c:v>45083</c:v>
                </c:pt>
                <c:pt idx="782">
                  <c:v>45127</c:v>
                </c:pt>
                <c:pt idx="783">
                  <c:v>45255</c:v>
                </c:pt>
                <c:pt idx="784">
                  <c:v>45237</c:v>
                </c:pt>
                <c:pt idx="785">
                  <c:v>45173</c:v>
                </c:pt>
                <c:pt idx="786">
                  <c:v>45129</c:v>
                </c:pt>
                <c:pt idx="787">
                  <c:v>45194</c:v>
                </c:pt>
                <c:pt idx="788">
                  <c:v>45125</c:v>
                </c:pt>
                <c:pt idx="789">
                  <c:v>45266</c:v>
                </c:pt>
                <c:pt idx="790">
                  <c:v>45277</c:v>
                </c:pt>
                <c:pt idx="791">
                  <c:v>45024</c:v>
                </c:pt>
                <c:pt idx="792">
                  <c:v>45219</c:v>
                </c:pt>
                <c:pt idx="793">
                  <c:v>45202</c:v>
                </c:pt>
                <c:pt idx="794">
                  <c:v>45025</c:v>
                </c:pt>
                <c:pt idx="795">
                  <c:v>45153</c:v>
                </c:pt>
                <c:pt idx="796">
                  <c:v>45005</c:v>
                </c:pt>
                <c:pt idx="797">
                  <c:v>44970</c:v>
                </c:pt>
                <c:pt idx="798">
                  <c:v>45223</c:v>
                </c:pt>
                <c:pt idx="799">
                  <c:v>45262</c:v>
                </c:pt>
                <c:pt idx="800">
                  <c:v>45126</c:v>
                </c:pt>
                <c:pt idx="801">
                  <c:v>45055</c:v>
                </c:pt>
                <c:pt idx="802">
                  <c:v>44941</c:v>
                </c:pt>
                <c:pt idx="803">
                  <c:v>45155</c:v>
                </c:pt>
                <c:pt idx="804">
                  <c:v>45129</c:v>
                </c:pt>
                <c:pt idx="805">
                  <c:v>44997</c:v>
                </c:pt>
                <c:pt idx="806">
                  <c:v>45143</c:v>
                </c:pt>
                <c:pt idx="807">
                  <c:v>44974</c:v>
                </c:pt>
                <c:pt idx="808">
                  <c:v>45007</c:v>
                </c:pt>
                <c:pt idx="809">
                  <c:v>45136</c:v>
                </c:pt>
                <c:pt idx="810">
                  <c:v>45218</c:v>
                </c:pt>
                <c:pt idx="811">
                  <c:v>45016</c:v>
                </c:pt>
                <c:pt idx="812">
                  <c:v>45110</c:v>
                </c:pt>
                <c:pt idx="813">
                  <c:v>45209</c:v>
                </c:pt>
                <c:pt idx="814">
                  <c:v>45203</c:v>
                </c:pt>
                <c:pt idx="815">
                  <c:v>45213</c:v>
                </c:pt>
                <c:pt idx="816">
                  <c:v>45002</c:v>
                </c:pt>
                <c:pt idx="817">
                  <c:v>45171</c:v>
                </c:pt>
                <c:pt idx="818">
                  <c:v>44989</c:v>
                </c:pt>
                <c:pt idx="819">
                  <c:v>44964</c:v>
                </c:pt>
                <c:pt idx="820">
                  <c:v>45074</c:v>
                </c:pt>
                <c:pt idx="821">
                  <c:v>45015</c:v>
                </c:pt>
                <c:pt idx="822">
                  <c:v>45207</c:v>
                </c:pt>
                <c:pt idx="823">
                  <c:v>45233</c:v>
                </c:pt>
                <c:pt idx="824">
                  <c:v>44958</c:v>
                </c:pt>
                <c:pt idx="825">
                  <c:v>45066</c:v>
                </c:pt>
                <c:pt idx="826">
                  <c:v>45034</c:v>
                </c:pt>
                <c:pt idx="827">
                  <c:v>45059</c:v>
                </c:pt>
                <c:pt idx="828">
                  <c:v>45167</c:v>
                </c:pt>
                <c:pt idx="829">
                  <c:v>45277</c:v>
                </c:pt>
                <c:pt idx="830">
                  <c:v>45173</c:v>
                </c:pt>
                <c:pt idx="831">
                  <c:v>45289</c:v>
                </c:pt>
                <c:pt idx="832">
                  <c:v>45161</c:v>
                </c:pt>
                <c:pt idx="833">
                  <c:v>45032</c:v>
                </c:pt>
                <c:pt idx="834">
                  <c:v>45003</c:v>
                </c:pt>
                <c:pt idx="835">
                  <c:v>45213</c:v>
                </c:pt>
                <c:pt idx="836">
                  <c:v>45268</c:v>
                </c:pt>
                <c:pt idx="837">
                  <c:v>45005</c:v>
                </c:pt>
                <c:pt idx="838">
                  <c:v>45261</c:v>
                </c:pt>
                <c:pt idx="839">
                  <c:v>44985</c:v>
                </c:pt>
                <c:pt idx="840">
                  <c:v>44946</c:v>
                </c:pt>
                <c:pt idx="841">
                  <c:v>45133</c:v>
                </c:pt>
                <c:pt idx="842">
                  <c:v>44973</c:v>
                </c:pt>
                <c:pt idx="843">
                  <c:v>45119</c:v>
                </c:pt>
                <c:pt idx="844">
                  <c:v>45135</c:v>
                </c:pt>
                <c:pt idx="845">
                  <c:v>45050</c:v>
                </c:pt>
                <c:pt idx="846">
                  <c:v>44998</c:v>
                </c:pt>
                <c:pt idx="847">
                  <c:v>45080</c:v>
                </c:pt>
                <c:pt idx="848">
                  <c:v>45142</c:v>
                </c:pt>
                <c:pt idx="849">
                  <c:v>45198</c:v>
                </c:pt>
                <c:pt idx="850">
                  <c:v>45055</c:v>
                </c:pt>
                <c:pt idx="851">
                  <c:v>45130</c:v>
                </c:pt>
                <c:pt idx="852">
                  <c:v>45081</c:v>
                </c:pt>
                <c:pt idx="853">
                  <c:v>45273</c:v>
                </c:pt>
                <c:pt idx="854">
                  <c:v>45275</c:v>
                </c:pt>
                <c:pt idx="855">
                  <c:v>45271</c:v>
                </c:pt>
                <c:pt idx="856">
                  <c:v>45270</c:v>
                </c:pt>
                <c:pt idx="857">
                  <c:v>45231</c:v>
                </c:pt>
                <c:pt idx="858">
                  <c:v>45003</c:v>
                </c:pt>
                <c:pt idx="859">
                  <c:v>45214</c:v>
                </c:pt>
                <c:pt idx="860">
                  <c:v>44953</c:v>
                </c:pt>
                <c:pt idx="861">
                  <c:v>45062</c:v>
                </c:pt>
                <c:pt idx="862">
                  <c:v>45084</c:v>
                </c:pt>
                <c:pt idx="863">
                  <c:v>45104</c:v>
                </c:pt>
                <c:pt idx="864">
                  <c:v>44998</c:v>
                </c:pt>
                <c:pt idx="865">
                  <c:v>45285</c:v>
                </c:pt>
                <c:pt idx="866">
                  <c:v>45185</c:v>
                </c:pt>
                <c:pt idx="867">
                  <c:v>44979</c:v>
                </c:pt>
                <c:pt idx="868">
                  <c:v>45116</c:v>
                </c:pt>
                <c:pt idx="869">
                  <c:v>44949</c:v>
                </c:pt>
                <c:pt idx="870">
                  <c:v>45179</c:v>
                </c:pt>
                <c:pt idx="871">
                  <c:v>45044</c:v>
                </c:pt>
                <c:pt idx="872">
                  <c:v>44936</c:v>
                </c:pt>
                <c:pt idx="873">
                  <c:v>45130</c:v>
                </c:pt>
                <c:pt idx="874">
                  <c:v>44952</c:v>
                </c:pt>
                <c:pt idx="875">
                  <c:v>45211</c:v>
                </c:pt>
                <c:pt idx="876">
                  <c:v>45207</c:v>
                </c:pt>
                <c:pt idx="877">
                  <c:v>45062</c:v>
                </c:pt>
                <c:pt idx="878">
                  <c:v>45253</c:v>
                </c:pt>
                <c:pt idx="879">
                  <c:v>45116</c:v>
                </c:pt>
                <c:pt idx="880">
                  <c:v>44939</c:v>
                </c:pt>
                <c:pt idx="881">
                  <c:v>44934</c:v>
                </c:pt>
                <c:pt idx="882">
                  <c:v>45277</c:v>
                </c:pt>
                <c:pt idx="883">
                  <c:v>44998</c:v>
                </c:pt>
                <c:pt idx="884">
                  <c:v>45115</c:v>
                </c:pt>
                <c:pt idx="885">
                  <c:v>44990</c:v>
                </c:pt>
                <c:pt idx="886">
                  <c:v>45097</c:v>
                </c:pt>
                <c:pt idx="887">
                  <c:v>45232</c:v>
                </c:pt>
                <c:pt idx="888">
                  <c:v>45005</c:v>
                </c:pt>
                <c:pt idx="889">
                  <c:v>45240</c:v>
                </c:pt>
                <c:pt idx="890">
                  <c:v>45163</c:v>
                </c:pt>
                <c:pt idx="891">
                  <c:v>45002</c:v>
                </c:pt>
                <c:pt idx="892">
                  <c:v>45057</c:v>
                </c:pt>
                <c:pt idx="893">
                  <c:v>44985</c:v>
                </c:pt>
                <c:pt idx="894">
                  <c:v>45260</c:v>
                </c:pt>
                <c:pt idx="895">
                  <c:v>45077</c:v>
                </c:pt>
                <c:pt idx="896">
                  <c:v>45022</c:v>
                </c:pt>
                <c:pt idx="897">
                  <c:v>44969</c:v>
                </c:pt>
                <c:pt idx="898">
                  <c:v>45138</c:v>
                </c:pt>
                <c:pt idx="899">
                  <c:v>45273</c:v>
                </c:pt>
                <c:pt idx="900">
                  <c:v>45286</c:v>
                </c:pt>
                <c:pt idx="901">
                  <c:v>44998</c:v>
                </c:pt>
                <c:pt idx="902">
                  <c:v>45118</c:v>
                </c:pt>
                <c:pt idx="903">
                  <c:v>45102</c:v>
                </c:pt>
                <c:pt idx="904">
                  <c:v>45130</c:v>
                </c:pt>
                <c:pt idx="905">
                  <c:v>45031</c:v>
                </c:pt>
                <c:pt idx="906">
                  <c:v>44994</c:v>
                </c:pt>
                <c:pt idx="907">
                  <c:v>45072</c:v>
                </c:pt>
                <c:pt idx="908">
                  <c:v>45160</c:v>
                </c:pt>
                <c:pt idx="909">
                  <c:v>45213</c:v>
                </c:pt>
                <c:pt idx="910">
                  <c:v>45256</c:v>
                </c:pt>
                <c:pt idx="911">
                  <c:v>45073</c:v>
                </c:pt>
                <c:pt idx="912">
                  <c:v>45016</c:v>
                </c:pt>
                <c:pt idx="913">
                  <c:v>45076</c:v>
                </c:pt>
                <c:pt idx="914">
                  <c:v>45060</c:v>
                </c:pt>
                <c:pt idx="915">
                  <c:v>44990</c:v>
                </c:pt>
                <c:pt idx="916">
                  <c:v>44997</c:v>
                </c:pt>
                <c:pt idx="917">
                  <c:v>44970</c:v>
                </c:pt>
                <c:pt idx="918">
                  <c:v>45135</c:v>
                </c:pt>
                <c:pt idx="919">
                  <c:v>44987</c:v>
                </c:pt>
                <c:pt idx="920">
                  <c:v>44994</c:v>
                </c:pt>
                <c:pt idx="921">
                  <c:v>45207</c:v>
                </c:pt>
                <c:pt idx="922">
                  <c:v>45205</c:v>
                </c:pt>
                <c:pt idx="923">
                  <c:v>45186</c:v>
                </c:pt>
                <c:pt idx="924">
                  <c:v>45111</c:v>
                </c:pt>
                <c:pt idx="925">
                  <c:v>45227</c:v>
                </c:pt>
                <c:pt idx="926">
                  <c:v>45090</c:v>
                </c:pt>
                <c:pt idx="927">
                  <c:v>45036</c:v>
                </c:pt>
                <c:pt idx="928">
                  <c:v>45286</c:v>
                </c:pt>
                <c:pt idx="929">
                  <c:v>45231</c:v>
                </c:pt>
                <c:pt idx="930">
                  <c:v>45168</c:v>
                </c:pt>
                <c:pt idx="931">
                  <c:v>44960</c:v>
                </c:pt>
                <c:pt idx="932">
                  <c:v>45160</c:v>
                </c:pt>
                <c:pt idx="933">
                  <c:v>45122</c:v>
                </c:pt>
                <c:pt idx="934">
                  <c:v>45143</c:v>
                </c:pt>
                <c:pt idx="935">
                  <c:v>44936</c:v>
                </c:pt>
                <c:pt idx="936">
                  <c:v>44964</c:v>
                </c:pt>
                <c:pt idx="937">
                  <c:v>45227</c:v>
                </c:pt>
                <c:pt idx="938">
                  <c:v>45280</c:v>
                </c:pt>
                <c:pt idx="939">
                  <c:v>45033</c:v>
                </c:pt>
                <c:pt idx="940">
                  <c:v>45196</c:v>
                </c:pt>
                <c:pt idx="941">
                  <c:v>45168</c:v>
                </c:pt>
                <c:pt idx="942">
                  <c:v>45062</c:v>
                </c:pt>
                <c:pt idx="943">
                  <c:v>45036</c:v>
                </c:pt>
                <c:pt idx="944">
                  <c:v>45134</c:v>
                </c:pt>
                <c:pt idx="945">
                  <c:v>45061</c:v>
                </c:pt>
                <c:pt idx="946">
                  <c:v>45080</c:v>
                </c:pt>
                <c:pt idx="947">
                  <c:v>45074</c:v>
                </c:pt>
                <c:pt idx="948">
                  <c:v>45129</c:v>
                </c:pt>
                <c:pt idx="949">
                  <c:v>45061</c:v>
                </c:pt>
                <c:pt idx="950">
                  <c:v>45269</c:v>
                </c:pt>
                <c:pt idx="951">
                  <c:v>45126</c:v>
                </c:pt>
                <c:pt idx="952">
                  <c:v>45219</c:v>
                </c:pt>
                <c:pt idx="953">
                  <c:v>44976</c:v>
                </c:pt>
                <c:pt idx="954">
                  <c:v>45015</c:v>
                </c:pt>
                <c:pt idx="955">
                  <c:v>45274</c:v>
                </c:pt>
                <c:pt idx="956">
                  <c:v>45156</c:v>
                </c:pt>
                <c:pt idx="957">
                  <c:v>45022</c:v>
                </c:pt>
                <c:pt idx="958">
                  <c:v>45275</c:v>
                </c:pt>
                <c:pt idx="959">
                  <c:v>45257</c:v>
                </c:pt>
                <c:pt idx="960">
                  <c:v>45177</c:v>
                </c:pt>
                <c:pt idx="961">
                  <c:v>45283</c:v>
                </c:pt>
                <c:pt idx="962">
                  <c:v>45115</c:v>
                </c:pt>
                <c:pt idx="963">
                  <c:v>45259</c:v>
                </c:pt>
                <c:pt idx="964">
                  <c:v>45203</c:v>
                </c:pt>
                <c:pt idx="965">
                  <c:v>44940</c:v>
                </c:pt>
                <c:pt idx="966">
                  <c:v>44954</c:v>
                </c:pt>
                <c:pt idx="967">
                  <c:v>44997</c:v>
                </c:pt>
                <c:pt idx="968">
                  <c:v>45189</c:v>
                </c:pt>
                <c:pt idx="969">
                  <c:v>45189</c:v>
                </c:pt>
                <c:pt idx="970">
                  <c:v>45121</c:v>
                </c:pt>
                <c:pt idx="971">
                  <c:v>45181</c:v>
                </c:pt>
                <c:pt idx="972">
                  <c:v>45200</c:v>
                </c:pt>
                <c:pt idx="973">
                  <c:v>45276</c:v>
                </c:pt>
                <c:pt idx="974">
                  <c:v>45234</c:v>
                </c:pt>
                <c:pt idx="975">
                  <c:v>44929</c:v>
                </c:pt>
                <c:pt idx="976">
                  <c:v>45158</c:v>
                </c:pt>
                <c:pt idx="977">
                  <c:v>45143</c:v>
                </c:pt>
                <c:pt idx="978">
                  <c:v>44964</c:v>
                </c:pt>
                <c:pt idx="979">
                  <c:v>45001</c:v>
                </c:pt>
                <c:pt idx="980">
                  <c:v>45099</c:v>
                </c:pt>
                <c:pt idx="981">
                  <c:v>45212</c:v>
                </c:pt>
                <c:pt idx="982">
                  <c:v>44992</c:v>
                </c:pt>
                <c:pt idx="983">
                  <c:v>45277</c:v>
                </c:pt>
                <c:pt idx="984">
                  <c:v>45196</c:v>
                </c:pt>
                <c:pt idx="985">
                  <c:v>45123</c:v>
                </c:pt>
                <c:pt idx="986">
                  <c:v>45101</c:v>
                </c:pt>
                <c:pt idx="987">
                  <c:v>45174</c:v>
                </c:pt>
                <c:pt idx="988">
                  <c:v>45282</c:v>
                </c:pt>
                <c:pt idx="989">
                  <c:v>45086</c:v>
                </c:pt>
                <c:pt idx="990">
                  <c:v>45270</c:v>
                </c:pt>
                <c:pt idx="991">
                  <c:v>45050</c:v>
                </c:pt>
                <c:pt idx="992">
                  <c:v>45102</c:v>
                </c:pt>
                <c:pt idx="993">
                  <c:v>45234</c:v>
                </c:pt>
                <c:pt idx="994">
                  <c:v>45137</c:v>
                </c:pt>
                <c:pt idx="995">
                  <c:v>45291</c:v>
                </c:pt>
                <c:pt idx="996">
                  <c:v>45050</c:v>
                </c:pt>
                <c:pt idx="997">
                  <c:v>45077</c:v>
                </c:pt>
                <c:pt idx="998">
                  <c:v>45089</c:v>
                </c:pt>
                <c:pt idx="999">
                  <c:v>44935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CD9-46B2-8685-C393C0F8BD63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51668623"/>
        <c:axId val="1773519311"/>
      </c:lineChart>
      <c:catAx>
        <c:axId val="1851668623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3519311"/>
        <c:crosses val="autoZero"/>
        <c:auto val="1"/>
        <c:lblAlgn val="ctr"/>
        <c:lblOffset val="100"/>
        <c:noMultiLvlLbl val="0"/>
      </c:catAx>
      <c:valAx>
        <c:axId val="1773519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1668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Sheet1!$R$33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60CDDD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10F9-4EF2-A08E-166C2F94FD41}"/>
              </c:ext>
            </c:extLst>
          </c:dPt>
          <c:dPt>
            <c:idx val="1"/>
            <c:invertIfNegative val="0"/>
            <c:bubble3D val="0"/>
            <c:spPr>
              <a:solidFill>
                <a:srgbClr val="60CD8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10F9-4EF2-A08E-166C2F94FD41}"/>
              </c:ext>
            </c:extLst>
          </c:dPt>
          <c:dPt>
            <c:idx val="2"/>
            <c:invertIfNegative val="0"/>
            <c:bubble3D val="0"/>
            <c:spPr>
              <a:solidFill>
                <a:srgbClr val="ADCEC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10F9-4EF2-A08E-166C2F94FD4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Century Gothic" panose="020B0502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Sheet1!$Q$34:$Q$38</c:f>
              <c:strCache>
                <c:ptCount val="5"/>
                <c:pt idx="0">
                  <c:v>London</c:v>
                </c:pt>
                <c:pt idx="1">
                  <c:v>Mumbai</c:v>
                </c:pt>
                <c:pt idx="2">
                  <c:v>New York</c:v>
                </c:pt>
                <c:pt idx="3">
                  <c:v>Sydney</c:v>
                </c:pt>
                <c:pt idx="4">
                  <c:v>Toronto</c:v>
                </c:pt>
              </c:strCache>
            </c:strRef>
          </c:cat>
          <c:val>
            <c:numRef>
              <c:f>Sheet1!$R$34:$R$38</c:f>
              <c:numCache>
                <c:formatCode>General</c:formatCode>
                <c:ptCount val="5"/>
                <c:pt idx="0">
                  <c:v>194</c:v>
                </c:pt>
                <c:pt idx="1">
                  <c:v>200</c:v>
                </c:pt>
                <c:pt idx="2">
                  <c:v>225</c:v>
                </c:pt>
                <c:pt idx="3">
                  <c:v>186</c:v>
                </c:pt>
                <c:pt idx="4">
                  <c:v>193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10F9-4EF2-A08E-166C2F94FD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3"/>
        <c:overlap val="100"/>
        <c:axId val="1429423679"/>
        <c:axId val="1429741471"/>
      </c:barChart>
      <c:catAx>
        <c:axId val="1429423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n-US"/>
          </a:p>
        </c:txPr>
        <c:crossAx val="1429741471"/>
        <c:crosses val="autoZero"/>
        <c:auto val="1"/>
        <c:lblAlgn val="ctr"/>
        <c:lblOffset val="100"/>
        <c:noMultiLvlLbl val="0"/>
      </c:catAx>
      <c:valAx>
        <c:axId val="1429741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n-US"/>
          </a:p>
        </c:txPr>
        <c:crossAx val="1429423679"/>
        <c:crosses val="autoZero"/>
        <c:crossBetween val="between"/>
      </c:valAx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 sz="1050">
          <a:latin typeface="Century Gothic" panose="020B0502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7145164546739345E-2"/>
          <c:y val="1.371916010498688E-2"/>
          <c:w val="0.76375445256842911"/>
          <c:h val="0.85540498687664057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DBF0A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E38E-4D2D-8CBB-9E6A7C182D2F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E38E-4D2D-8CBB-9E6A7C182D2F}"/>
              </c:ext>
            </c:extLst>
          </c:dPt>
          <c:dPt>
            <c:idx val="2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E38E-4D2D-8CBB-9E6A7C182D2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overflow" horzOverflow="overflow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Century Gothic" panose="020B0502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Sheet1!$Q$11:$Q$13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Other</c:v>
                </c:pt>
              </c:strCache>
            </c:strRef>
          </c:cat>
          <c:val>
            <c:numRef>
              <c:f>Sheet1!$R$11:$R$13</c:f>
              <c:numCache>
                <c:formatCode>General</c:formatCode>
                <c:ptCount val="3"/>
                <c:pt idx="0">
                  <c:v>350</c:v>
                </c:pt>
                <c:pt idx="1">
                  <c:v>329</c:v>
                </c:pt>
                <c:pt idx="2">
                  <c:v>321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E38E-4D2D-8CBB-9E6A7C182D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7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100" b="0" i="0" u="none" strike="noStrike" kern="1200" baseline="0">
              <a:solidFill>
                <a:schemeClr val="tx2"/>
              </a:solidFill>
              <a:latin typeface="Century Gothic" panose="020B0502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latin typeface="Century Gothic" panose="020B0502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[Data_Exploration.xlsx]Dashboard!PivotTable8</c:name>
    <c:fmtId val="0"/>
  </c:pivotSource>
  <c:chart>
    <c:autoTitleDeleted val="1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Dashboard!$C$48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Dashboard!$B$49:$B$69</c:f>
              <c:multiLvlStrCache>
                <c:ptCount val="13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</c:lvl>
                <c:lvl>
                  <c:pt idx="0">
                    <c:v>Qtr1</c:v>
                  </c:pt>
                  <c:pt idx="3">
                    <c:v>Qtr2</c:v>
                  </c:pt>
                  <c:pt idx="6">
                    <c:v>Qtr3</c:v>
                  </c:pt>
                  <c:pt idx="9">
                    <c:v>Qtr4</c:v>
                  </c:pt>
                  <c:pt idx="12">
                    <c:v>Qtr1</c:v>
                  </c:pt>
                </c:lvl>
                <c:lvl>
                  <c:pt idx="0">
                    <c:v>2023</c:v>
                  </c:pt>
                  <c:pt idx="12">
                    <c:v>2024</c:v>
                  </c:pt>
                </c:lvl>
              </c:multiLvlStrCache>
            </c:multiLvlStrRef>
          </c:cat>
          <c:val>
            <c:numRef>
              <c:f>Dashboard!$C$49:$C$69</c:f>
              <c:numCache>
                <c:formatCode>General</c:formatCode>
                <c:ptCount val="13"/>
                <c:pt idx="0">
                  <c:v>4400</c:v>
                </c:pt>
                <c:pt idx="1">
                  <c:v>3524</c:v>
                </c:pt>
                <c:pt idx="2">
                  <c:v>5119</c:v>
                </c:pt>
                <c:pt idx="3">
                  <c:v>3838</c:v>
                </c:pt>
                <c:pt idx="4">
                  <c:v>4492</c:v>
                </c:pt>
                <c:pt idx="5">
                  <c:v>3900</c:v>
                </c:pt>
                <c:pt idx="6">
                  <c:v>3687</c:v>
                </c:pt>
                <c:pt idx="7">
                  <c:v>2891</c:v>
                </c:pt>
                <c:pt idx="8">
                  <c:v>3328</c:v>
                </c:pt>
                <c:pt idx="9">
                  <c:v>4347</c:v>
                </c:pt>
                <c:pt idx="10">
                  <c:v>3997</c:v>
                </c:pt>
                <c:pt idx="11">
                  <c:v>4579</c:v>
                </c:pt>
                <c:pt idx="12">
                  <c:v>305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DA2-4FC7-B9A3-46FEAE207C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2650607"/>
        <c:axId val="1773511151"/>
      </c:lineChart>
      <c:catAx>
        <c:axId val="209265060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3511151"/>
        <c:crosses val="autoZero"/>
        <c:auto val="1"/>
        <c:lblAlgn val="ctr"/>
        <c:lblOffset val="100"/>
        <c:noMultiLvlLbl val="0"/>
      </c:catAx>
      <c:valAx>
        <c:axId val="1773511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2650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201384</xdr:colOff>
      <xdr:row>808</xdr:row>
      <xdr:rowOff>21770</xdr:rowOff>
    </xdr:from>
    <xdr:to>
      <xdr:col>21</xdr:col>
      <xdr:colOff>820782</xdr:colOff>
      <xdr:row>826</xdr:row>
      <xdr:rowOff>32656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6250746-ECFF-E9B4-2F6E-86C1DA208A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160564</xdr:colOff>
      <xdr:row>14</xdr:row>
      <xdr:rowOff>24493</xdr:rowOff>
    </xdr:from>
    <xdr:to>
      <xdr:col>4</xdr:col>
      <xdr:colOff>236764</xdr:colOff>
      <xdr:row>33</xdr:row>
      <xdr:rowOff>251653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5319EA0-1610-4715-BF41-5DDE019AE1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63500</xdr:colOff>
      <xdr:row>3</xdr:row>
      <xdr:rowOff>1386</xdr:rowOff>
    </xdr:from>
    <xdr:to>
      <xdr:col>9</xdr:col>
      <xdr:colOff>1409700</xdr:colOff>
      <xdr:row>11</xdr:row>
      <xdr:rowOff>133350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781EA89-A4F7-4241-A1F7-703CD1210A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314324</xdr:colOff>
      <xdr:row>14</xdr:row>
      <xdr:rowOff>209550</xdr:rowOff>
    </xdr:from>
    <xdr:to>
      <xdr:col>11</xdr:col>
      <xdr:colOff>1352550</xdr:colOff>
      <xdr:row>32</xdr:row>
      <xdr:rowOff>19049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A26F1A5F-FE12-1899-49F1-E0D2C2C7F2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IC-Business-Meeting-Agenda-Template33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siness Meeting Agenda"/>
    </sheetNames>
    <sheetDataSet>
      <sheetData sheetId="0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mantha Fernandez" refreshedDate="46315.684695833334" createdVersion="8" refreshedVersion="8" minRefreshableVersion="3" recordCount="1000" xr:uid="{39E0D02E-D4A4-46E7-BD99-FB6CF0A81627}">
  <cacheSource type="worksheet">
    <worksheetSource ref="A1:O1001" sheet="Sheet1"/>
  </cacheSource>
  <cacheFields count="15">
    <cacheField name="CustomerID" numFmtId="0">
      <sharedItems count="1000">
        <s v="CUST-1858"/>
        <s v="CUST-1561"/>
        <s v="CUST-1794"/>
        <s v="CUST-1127"/>
        <s v="CUST-1267"/>
        <s v="CUST-1247"/>
        <s v="CUST-1554"/>
        <s v="CUST-1335"/>
        <s v="CUST-1624"/>
        <s v="CUST-1023"/>
        <s v="CUST-1900"/>
        <s v="CUST-1598"/>
        <s v="CUST-1020"/>
        <s v="CUST-1609"/>
        <s v="CUST-1694"/>
        <s v="CUST-1144"/>
        <s v="CUST-1621"/>
        <s v="CUST-1587"/>
        <s v="CUST-1789"/>
        <s v="CUST-1744"/>
        <s v="CUST-1795"/>
        <s v="CUST-1212"/>
        <s v="CUST-1787"/>
        <s v="CUST-1841"/>
        <s v="CUST-1635"/>
        <s v="CUST-1897"/>
        <s v="CUST-1300"/>
        <s v="CUST-1382"/>
        <s v="CUST-1341"/>
        <s v="CUST-1834"/>
        <s v="CUST-1384"/>
        <s v="CUST-1721"/>
        <s v="CUST-1045"/>
        <s v="CUST-1692"/>
        <s v="CUST-1346"/>
        <s v="CUST-1640"/>
        <s v="CUST-1569"/>
        <s v="CUST-1594"/>
        <s v="CUST-1270"/>
        <s v="CUST-1006"/>
        <s v="CUST-1250"/>
        <s v="CUST-1717"/>
        <s v="CUST-1864"/>
        <s v="CUST-1754"/>
        <s v="CUST-1139"/>
        <s v="CUST-1366"/>
        <s v="CUST-1051"/>
        <s v="CUST-1356"/>
        <s v="CUST-1493"/>
        <s v="CUST-1455"/>
        <s v="CUST-1326"/>
        <s v="CUST-1058"/>
        <s v="CUST-1370"/>
        <s v="CUST-1644"/>
        <s v="CUST-1988"/>
        <s v="CUST-1072"/>
        <s v="CUST-1899"/>
        <s v="CUST-1451"/>
        <s v="CUST-1613"/>
        <s v="CUST-1195"/>
        <s v="CUST-1565"/>
        <s v="CUST-1418"/>
        <s v="CUST-1997"/>
        <s v="CUST-1376"/>
        <s v="CUST-1422"/>
        <s v="CUST-1312"/>
        <s v="CUST-1894"/>
        <s v="CUST-1207"/>
        <s v="CUST-1927"/>
        <s v="CUST-1678"/>
        <s v="CUST-1706"/>
        <s v="CUST-1091"/>
        <s v="CUST-1749"/>
        <s v="CUST-1822"/>
        <s v="CUST-1986"/>
        <s v="CUST-1970"/>
        <s v="CUST-1584"/>
        <s v="CUST-1913"/>
        <s v="CUST-1796"/>
        <s v="CUST-1898"/>
        <s v="CUST-1351"/>
        <s v="CUST-1945"/>
        <s v="CUST-1782"/>
        <s v="CUST-1318"/>
        <s v="CUST-1797"/>
        <s v="CUST-1299"/>
        <s v="CUST-1050"/>
        <s v="CUST-1052"/>
        <s v="CUST-1460"/>
        <s v="CUST-1505"/>
        <s v="CUST-1386"/>
        <s v="CUST-1975"/>
        <s v="CUST-1681"/>
        <s v="CUST-1985"/>
        <s v="CUST-1868"/>
        <s v="CUST-1206"/>
        <s v="CUST-1010"/>
        <s v="CUST-1253"/>
        <s v="CUST-1654"/>
        <s v="CUST-1610"/>
        <s v="CUST-1800"/>
        <s v="CUST-1239"/>
        <s v="CUST-1588"/>
        <s v="CUST-1545"/>
        <s v="CUST-1563"/>
        <s v="CUST-1104"/>
        <s v="CUST-1103"/>
        <s v="CUST-1820"/>
        <s v="CUST-1826"/>
        <s v="CUST-1152"/>
        <s v="CUST-1079"/>
        <s v="CUST-1500"/>
        <s v="CUST-1481"/>
        <s v="CUST-1155"/>
        <s v="CUST-1577"/>
        <s v="CUST-1659"/>
        <s v="CUST-1616"/>
        <s v="CUST-1359"/>
        <s v="CUST-1537"/>
        <s v="CUST-1322"/>
        <s v="CUST-1656"/>
        <s v="CUST-1780"/>
        <s v="CUST-1934"/>
        <s v="CUST-1301"/>
        <s v="CUST-1291"/>
        <s v="CUST-1138"/>
        <s v="CUST-1009"/>
        <s v="CUST-1234"/>
        <s v="CUST-1740"/>
        <s v="CUST-1205"/>
        <s v="CUST-1957"/>
        <s v="CUST-1547"/>
        <s v="CUST-1218"/>
        <s v="CUST-1424"/>
        <s v="CUST-1627"/>
        <s v="CUST-1194"/>
        <s v="CUST-1287"/>
        <s v="CUST-1522"/>
        <s v="CUST-1871"/>
        <s v="CUST-1492"/>
        <s v="CUST-1269"/>
        <s v="CUST-1665"/>
        <s v="CUST-1263"/>
        <s v="CUST-1649"/>
        <s v="CUST-1818"/>
        <s v="CUST-1843"/>
        <s v="CUST-1472"/>
        <s v="CUST-1124"/>
        <s v="CUST-1042"/>
        <s v="CUST-1700"/>
        <s v="CUST-1562"/>
        <s v="CUST-1503"/>
        <s v="CUST-1202"/>
        <s v="CUST-1447"/>
        <s v="CUST-1096"/>
        <s v="CUST-1516"/>
        <s v="CUST-1873"/>
        <s v="CUST-1136"/>
        <s v="CUST-1735"/>
        <s v="CUST-1053"/>
        <s v="CUST-1466"/>
        <s v="CUST-1162"/>
        <s v="CUST-1257"/>
        <s v="CUST-1838"/>
        <s v="CUST-1781"/>
        <s v="CUST-1390"/>
        <s v="CUST-1891"/>
        <s v="CUST-1863"/>
        <s v="CUST-1080"/>
        <s v="CUST-1421"/>
        <s v="CUST-1633"/>
        <s v="CUST-1736"/>
        <s v="CUST-1022"/>
        <s v="CUST-1122"/>
        <s v="CUST-1712"/>
        <s v="CUST-1189"/>
        <s v="CUST-1769"/>
        <s v="CUST-1698"/>
        <s v="CUST-1924"/>
        <s v="CUST-1114"/>
        <s v="CUST-1143"/>
        <s v="CUST-1164"/>
        <s v="CUST-1025"/>
        <s v="CUST-1935"/>
        <s v="CUST-1591"/>
        <s v="CUST-1941"/>
        <s v="CUST-1440"/>
        <s v="CUST-1453"/>
        <s v="CUST-1589"/>
        <s v="CUST-1885"/>
        <s v="CUST-1682"/>
        <s v="CUST-1321"/>
        <s v="CUST-1409"/>
        <s v="CUST-1383"/>
        <s v="CUST-1433"/>
        <s v="CUST-1974"/>
        <s v="CUST-1937"/>
        <s v="CUST-1556"/>
        <s v="CUST-1420"/>
        <s v="CUST-1778"/>
        <s v="CUST-1260"/>
        <s v="CUST-1745"/>
        <s v="CUST-1959"/>
        <s v="CUST-1197"/>
        <s v="CUST-1484"/>
        <s v="CUST-1870"/>
        <s v="CUST-1254"/>
        <s v="CUST-1235"/>
        <s v="CUST-1605"/>
        <s v="CUST-1661"/>
        <s v="CUST-1708"/>
        <s v="CUST-1683"/>
        <s v="CUST-1821"/>
        <s v="CUST-1160"/>
        <s v="CUST-1438"/>
        <s v="CUST-1548"/>
        <s v="CUST-1285"/>
        <s v="CUST-1792"/>
        <s v="CUST-1240"/>
        <s v="CUST-1524"/>
        <s v="CUST-1811"/>
        <s v="CUST-1710"/>
        <s v="CUST-1142"/>
        <s v="CUST-1993"/>
        <s v="CUST-1030"/>
        <s v="CUST-1536"/>
        <s v="CUST-1303"/>
        <s v="CUST-1978"/>
        <s v="CUST-1368"/>
        <s v="CUST-1773"/>
        <s v="CUST-1473"/>
        <s v="CUST-1336"/>
        <s v="CUST-1037"/>
        <s v="CUST-1543"/>
        <s v="CUST-1209"/>
        <s v="CUST-1388"/>
        <s v="CUST-1062"/>
        <s v="CUST-1371"/>
        <s v="CUST-1226"/>
        <s v="CUST-1564"/>
        <s v="CUST-1019"/>
        <s v="CUST-1071"/>
        <s v="CUST-1280"/>
        <s v="CUST-1910"/>
        <s v="CUST-1486"/>
        <s v="CUST-1480"/>
        <s v="CUST-1211"/>
        <s v="CUST-1001"/>
        <s v="CUST-1314"/>
        <s v="CUST-1200"/>
        <s v="CUST-1034"/>
        <s v="CUST-1428"/>
        <s v="CUST-1039"/>
        <s v="CUST-1604"/>
        <s v="CUST-1762"/>
        <s v="CUST-1920"/>
        <s v="CUST-1535"/>
        <s v="CUST-1979"/>
        <s v="CUST-1702"/>
        <s v="CUST-1949"/>
        <s v="CUST-1217"/>
        <s v="CUST-1297"/>
        <s v="CUST-1295"/>
        <s v="CUST-1461"/>
        <s v="CUST-1417"/>
        <s v="CUST-1199"/>
        <s v="CUST-1309"/>
        <s v="CUST-1185"/>
        <s v="CUST-1229"/>
        <s v="CUST-1429"/>
        <s v="CUST-1889"/>
        <s v="CUST-1718"/>
        <s v="CUST-1294"/>
        <s v="CUST-1534"/>
        <s v="CUST-1328"/>
        <s v="CUST-1969"/>
        <s v="CUST-1590"/>
        <s v="CUST-1396"/>
        <s v="CUST-1776"/>
        <s v="CUST-1358"/>
        <s v="CUST-1697"/>
        <s v="CUST-1755"/>
        <s v="CUST-1048"/>
        <s v="CUST-1092"/>
        <s v="CUST-1701"/>
        <s v="CUST-1747"/>
        <s v="CUST-1679"/>
        <s v="CUST-1670"/>
        <s v="CUST-1853"/>
        <s v="CUST-1638"/>
        <s v="CUST-1264"/>
        <s v="CUST-1061"/>
        <s v="CUST-1666"/>
        <s v="CUST-1689"/>
        <s v="CUST-1632"/>
        <s v="CUST-1437"/>
        <s v="CUST-1402"/>
        <s v="CUST-1242"/>
        <s v="CUST-1273"/>
        <s v="CUST-1208"/>
        <s v="CUST-1517"/>
        <s v="CUST-1251"/>
        <s v="CUST-1810"/>
        <s v="CUST-1097"/>
        <s v="CUST-1829"/>
        <s v="CUST-1575"/>
        <s v="CUST-1966"/>
        <s v="CUST-1515"/>
        <s v="CUST-1506"/>
        <s v="CUST-1512"/>
        <s v="CUST-1812"/>
        <s v="CUST-1488"/>
        <s v="CUST-1541"/>
        <s v="CUST-1732"/>
        <s v="CUST-1400"/>
        <s v="CUST-1111"/>
        <s v="CUST-1723"/>
        <s v="CUST-1883"/>
        <s v="CUST-1566"/>
        <s v="CUST-1175"/>
        <s v="CUST-1413"/>
        <s v="CUST-1869"/>
        <s v="CUST-1154"/>
        <s v="CUST-1628"/>
        <s v="CUST-1550"/>
        <s v="CUST-1695"/>
        <s v="CUST-1655"/>
        <s v="CUST-1350"/>
        <s v="CUST-1468"/>
        <s v="CUST-1347"/>
        <s v="CUST-1825"/>
        <s v="CUST-1511"/>
        <s v="CUST-1608"/>
        <s v="CUST-1210"/>
        <s v="CUST-1012"/>
        <s v="CUST-1906"/>
        <s v="CUST-1618"/>
        <s v="CUST-1995"/>
        <s v="CUST-1432"/>
        <s v="CUST-1499"/>
        <s v="CUST-1785"/>
        <s v="CUST-1938"/>
        <s v="CUST-1166"/>
        <s v="CUST-1730"/>
        <s v="CUST-1788"/>
        <s v="CUST-1887"/>
        <s v="CUST-1000"/>
        <s v="CUST-1999"/>
        <s v="CUST-1731"/>
        <s v="CUST-1478"/>
        <s v="CUST-1713"/>
        <s v="CUST-1003"/>
        <s v="CUST-1752"/>
        <s v="CUST-1168"/>
        <s v="CUST-1557"/>
        <s v="CUST-1141"/>
        <s v="CUST-1327"/>
        <s v="CUST-1198"/>
        <s v="CUST-1625"/>
        <s v="CUST-1331"/>
        <s v="CUST-1283"/>
        <s v="CUST-1033"/>
        <s v="CUST-1444"/>
        <s v="CUST-1836"/>
        <s v="CUST-1324"/>
        <s v="CUST-1857"/>
        <s v="CUST-1482"/>
        <s v="CUST-1378"/>
        <s v="CUST-1041"/>
        <s v="CUST-1586"/>
        <s v="CUST-1132"/>
        <s v="CUST-1296"/>
        <s v="CUST-1470"/>
        <s v="CUST-1908"/>
        <s v="CUST-1930"/>
        <s v="CUST-1707"/>
        <s v="CUST-1760"/>
        <s v="CUST-1410"/>
        <s v="CUST-1259"/>
        <s v="CUST-1540"/>
        <s v="CUST-1385"/>
        <s v="CUST-1620"/>
        <s v="CUST-1186"/>
        <s v="CUST-1159"/>
        <s v="CUST-1844"/>
        <s v="CUST-1623"/>
        <s v="CUST-1389"/>
        <s v="CUST-1690"/>
        <s v="CUST-1002"/>
        <s v="CUST-1286"/>
        <s v="CUST-1464"/>
        <s v="CUST-1639"/>
        <s v="CUST-1145"/>
        <s v="CUST-1603"/>
        <s v="CUST-1824"/>
        <s v="CUST-1725"/>
        <s v="CUST-1337"/>
        <s v="CUST-1699"/>
        <s v="CUST-1580"/>
        <s v="CUST-1214"/>
        <s v="CUST-1225"/>
        <s v="CUST-1262"/>
        <s v="CUST-1373"/>
        <s v="CUST-1521"/>
        <s v="CUST-1904"/>
        <s v="CUST-1462"/>
        <s v="CUST-1056"/>
        <s v="CUST-1059"/>
        <s v="CUST-1459"/>
        <s v="CUST-1102"/>
        <s v="CUST-1709"/>
        <s v="CUST-1026"/>
        <s v="CUST-1739"/>
        <s v="CUST-1879"/>
        <s v="CUST-1936"/>
        <s v="CUST-1246"/>
        <s v="CUST-1278"/>
        <s v="CUST-1622"/>
        <s v="CUST-1837"/>
        <s v="CUST-1110"/>
        <s v="CUST-1962"/>
        <s v="CUST-1714"/>
        <s v="CUST-1943"/>
        <s v="CUST-1926"/>
        <s v="CUST-1123"/>
        <s v="CUST-1165"/>
        <s v="CUST-1057"/>
        <s v="CUST-1719"/>
        <s v="CUST-1191"/>
        <s v="CUST-1850"/>
        <s v="CUST-1035"/>
        <s v="CUST-1607"/>
        <s v="CUST-1475"/>
        <s v="CUST-1573"/>
        <s v="CUST-1617"/>
        <s v="CUST-1958"/>
        <s v="CUST-1592"/>
        <s v="CUST-1304"/>
        <s v="CUST-1823"/>
        <s v="CUST-1982"/>
        <s v="CUST-1631"/>
        <s v="CUST-1268"/>
        <s v="CUST-1171"/>
        <s v="CUST-1086"/>
        <s v="CUST-1765"/>
        <s v="CUST-1518"/>
        <s v="CUST-1129"/>
        <s v="CUST-1443"/>
        <s v="CUST-1494"/>
        <s v="CUST-1156"/>
        <s v="CUST-1276"/>
        <s v="CUST-1585"/>
        <s v="CUST-1330"/>
        <s v="CUST-1916"/>
        <s v="CUST-1469"/>
        <s v="CUST-1316"/>
        <s v="CUST-1308"/>
        <s v="CUST-1845"/>
        <s v="CUST-1293"/>
        <s v="CUST-1403"/>
        <s v="CUST-1027"/>
        <s v="CUST-1759"/>
        <s v="CUST-1948"/>
        <s v="CUST-1553"/>
        <s v="CUST-1289"/>
        <s v="CUST-1839"/>
        <s v="CUST-1779"/>
        <s v="CUST-1281"/>
        <s v="CUST-1495"/>
        <s v="CUST-1582"/>
        <s v="CUST-1457"/>
        <s v="CUST-1593"/>
        <s v="CUST-1814"/>
        <s v="CUST-1483"/>
        <s v="CUST-1513"/>
        <s v="CUST-1153"/>
        <s v="CUST-1884"/>
        <s v="CUST-1933"/>
        <s v="CUST-1401"/>
        <s v="CUST-1405"/>
        <s v="CUST-1343"/>
        <s v="CUST-1799"/>
        <s v="CUST-1446"/>
        <s v="CUST-1130"/>
        <s v="CUST-1201"/>
        <s v="CUST-1671"/>
        <s v="CUST-1574"/>
        <s v="CUST-1600"/>
        <s v="CUST-1961"/>
        <s v="CUST-1805"/>
        <s v="CUST-1456"/>
        <s v="CUST-1743"/>
        <s v="CUST-1888"/>
        <s v="CUST-1284"/>
        <s v="CUST-1046"/>
        <s v="CUST-1137"/>
        <s v="CUST-1173"/>
        <s v="CUST-1918"/>
        <s v="CUST-1323"/>
        <s v="CUST-1715"/>
        <s v="CUST-1674"/>
        <s v="CUST-1292"/>
        <s v="CUST-1922"/>
        <s v="CUST-1711"/>
        <s v="CUST-1333"/>
        <s v="CUST-1790"/>
        <s v="CUST-1237"/>
        <s v="CUST-1454"/>
        <s v="CUST-1415"/>
        <s v="CUST-1126"/>
        <s v="CUST-1216"/>
        <s v="CUST-1793"/>
        <s v="CUST-1169"/>
        <s v="CUST-1660"/>
        <s v="CUST-1902"/>
        <s v="CUST-1170"/>
        <s v="CUST-1827"/>
        <s v="CUST-1098"/>
        <s v="CUST-1190"/>
        <s v="CUST-1896"/>
        <s v="CUST-1381"/>
        <s v="CUST-1150"/>
        <s v="CUST-1578"/>
        <s v="CUST-1340"/>
        <s v="CUST-1669"/>
        <s v="CUST-1960"/>
        <s v="CUST-1619"/>
        <s v="CUST-1519"/>
        <s v="CUST-1307"/>
        <s v="CUST-1772"/>
        <s v="CUST-1465"/>
        <s v="CUST-1094"/>
        <s v="CUST-1275"/>
        <s v="CUST-1662"/>
        <s v="CUST-1833"/>
        <s v="CUST-1066"/>
        <s v="CUST-1177"/>
        <s v="CUST-1555"/>
        <s v="CUST-1187"/>
        <s v="CUST-1956"/>
        <s v="CUST-1489"/>
        <s v="CUST-1597"/>
        <s v="CUST-1477"/>
        <s v="CUST-1083"/>
        <s v="CUST-1108"/>
        <s v="CUST-1720"/>
        <s v="CUST-1496"/>
        <s v="CUST-1032"/>
        <s v="CUST-1015"/>
        <s v="CUST-1439"/>
        <s v="CUST-1861"/>
        <s v="CUST-1158"/>
        <s v="CUST-1298"/>
        <s v="CUST-1663"/>
        <s v="CUST-1724"/>
        <s v="CUST-1862"/>
        <s v="CUST-1757"/>
        <s v="CUST-1223"/>
        <s v="CUST-1668"/>
        <s v="CUST-1798"/>
        <s v="CUST-1497"/>
        <s v="CUST-1939"/>
        <s v="CUST-1527"/>
        <s v="CUST-1539"/>
        <s v="CUST-1119"/>
        <s v="CUST-1727"/>
        <s v="CUST-1716"/>
        <s v="CUST-1448"/>
        <s v="CUST-1813"/>
        <s v="CUST-1764"/>
        <s v="CUST-1964"/>
        <s v="CUST-1395"/>
        <s v="CUST-1274"/>
        <s v="CUST-1848"/>
        <s v="CUST-1407"/>
        <s v="CUST-1602"/>
        <s v="CUST-1651"/>
        <s v="CUST-1128"/>
        <s v="CUST-1733"/>
        <s v="CUST-1252"/>
        <s v="CUST-1928"/>
        <s v="CUST-1339"/>
        <s v="CUST-1641"/>
        <s v="CUST-1458"/>
        <s v="CUST-1228"/>
        <s v="CUST-1529"/>
        <s v="CUST-1081"/>
        <s v="CUST-1686"/>
        <s v="CUST-1559"/>
        <s v="CUST-1634"/>
        <s v="CUST-1677"/>
        <s v="CUST-1487"/>
        <s v="CUST-1107"/>
        <s v="CUST-1238"/>
        <s v="CUST-1526"/>
        <s v="CUST-1846"/>
        <s v="CUST-1737"/>
        <s v="CUST-1728"/>
        <s v="CUST-1017"/>
        <s v="CUST-1533"/>
        <s v="CUST-1637"/>
        <s v="CUST-1435"/>
        <s v="CUST-1614"/>
        <s v="CUST-1121"/>
        <s v="CUST-1571"/>
        <s v="CUST-1842"/>
        <s v="CUST-1770"/>
        <s v="CUST-1968"/>
        <s v="CUST-1393"/>
        <s v="CUST-1423"/>
        <s v="CUST-1320"/>
        <s v="CUST-1831"/>
        <s v="CUST-1184"/>
        <s v="CUST-1436"/>
        <s v="CUST-1903"/>
        <s v="CUST-1120"/>
        <s v="CUST-1317"/>
        <s v="CUST-1599"/>
        <s v="CUST-1192"/>
        <s v="CUST-1147"/>
        <s v="CUST-1606"/>
        <s v="CUST-1076"/>
        <s v="CUST-1996"/>
        <s v="CUST-1803"/>
        <s v="CUST-1954"/>
        <s v="CUST-1860"/>
        <s v="CUST-1984"/>
        <s v="CUST-1364"/>
        <s v="CUST-1967"/>
        <s v="CUST-1215"/>
        <s v="CUST-1361"/>
        <s v="CUST-1576"/>
        <s v="CUST-1905"/>
        <s v="CUST-1791"/>
        <s v="CUST-1636"/>
        <s v="CUST-1819"/>
        <s v="CUST-1729"/>
        <s v="CUST-1872"/>
        <s v="CUST-1344"/>
        <s v="CUST-1302"/>
        <s v="CUST-1088"/>
        <s v="CUST-1652"/>
        <s v="CUST-1921"/>
        <s v="CUST-1914"/>
        <s v="CUST-1560"/>
        <s v="CUST-1568"/>
        <s v="CUST-1549"/>
        <s v="CUST-1230"/>
        <s v="CUST-1258"/>
        <s v="CUST-1976"/>
        <s v="CUST-1774"/>
        <s v="CUST-1766"/>
        <s v="CUST-1374"/>
        <s v="CUST-1775"/>
        <s v="CUST-1148"/>
        <s v="CUST-1498"/>
        <s v="CUST-1514"/>
        <s v="CUST-1245"/>
        <s v="CUST-1806"/>
        <s v="CUST-1878"/>
        <s v="CUST-1972"/>
        <s v="CUST-1923"/>
        <s v="CUST-1085"/>
        <s v="CUST-1180"/>
        <s v="CUST-1082"/>
        <s v="CUST-1266"/>
        <s v="CUST-1504"/>
        <s v="CUST-1031"/>
        <s v="CUST-1146"/>
        <s v="CUST-1835"/>
        <s v="CUST-1542"/>
        <s v="CUST-1399"/>
        <s v="CUST-1768"/>
        <s v="CUST-1570"/>
        <s v="CUST-1434"/>
        <s v="CUST-1204"/>
        <s v="CUST-1117"/>
        <s v="CUST-1471"/>
        <s v="CUST-1832"/>
        <s v="CUST-1761"/>
        <s v="CUST-1722"/>
        <s v="CUST-1971"/>
        <s v="CUST-1741"/>
        <s v="CUST-1944"/>
        <s v="CUST-1070"/>
        <s v="CUST-1029"/>
        <s v="CUST-1087"/>
        <s v="CUST-1947"/>
        <s v="CUST-1077"/>
        <s v="CUST-1467"/>
        <s v="CUST-1064"/>
        <s v="CUST-1485"/>
        <s v="CUST-1476"/>
        <s v="CUST-1942"/>
        <s v="CUST-1658"/>
        <s v="CUST-1998"/>
        <s v="CUST-1244"/>
        <s v="CUST-1134"/>
        <s v="CUST-1261"/>
        <s v="CUST-1426"/>
        <s v="CUST-1362"/>
        <s v="CUST-1989"/>
        <s v="CUST-1068"/>
        <s v="CUST-1691"/>
        <s v="CUST-1272"/>
        <s v="CUST-1595"/>
        <s v="CUST-1980"/>
        <s v="CUST-1847"/>
        <s v="CUST-1688"/>
        <s v="CUST-1909"/>
        <s v="CUST-1131"/>
        <s v="CUST-1221"/>
        <s v="CUST-1915"/>
        <s v="CUST-1704"/>
        <s v="CUST-1313"/>
        <s v="CUST-1332"/>
        <s v="CUST-1135"/>
        <s v="CUST-1038"/>
        <s v="CUST-1450"/>
        <s v="CUST-1532"/>
        <s v="CUST-1380"/>
        <s v="CUST-1783"/>
        <s v="CUST-1149"/>
        <s v="CUST-1116"/>
        <s v="CUST-1667"/>
        <s v="CUST-1890"/>
        <s v="CUST-1325"/>
        <s v="CUST-1232"/>
        <s v="CUST-1353"/>
        <s v="CUST-1345"/>
        <s v="CUST-1596"/>
        <s v="CUST-1753"/>
        <s v="CUST-1672"/>
        <s v="CUST-1955"/>
        <s v="CUST-1236"/>
        <s v="CUST-1007"/>
        <s v="CUST-1523"/>
        <s v="CUST-1917"/>
        <s v="CUST-1441"/>
        <s v="CUST-1973"/>
        <s v="CUST-1509"/>
        <s v="CUST-1817"/>
        <s v="CUST-1213"/>
        <s v="CUST-1021"/>
        <s v="CUST-1612"/>
        <s v="CUST-1140"/>
        <s v="CUST-1311"/>
        <s v="CUST-1256"/>
        <s v="CUST-1807"/>
        <s v="CUST-1507"/>
        <s v="CUST-1055"/>
        <s v="CUST-1024"/>
        <s v="CUST-1196"/>
        <s v="CUST-1501"/>
        <s v="CUST-1355"/>
        <s v="CUST-1876"/>
        <s v="CUST-1157"/>
        <s v="CUST-1738"/>
        <s v="CUST-1224"/>
        <s v="CUST-1510"/>
        <s v="CUST-1643"/>
        <s v="CUST-1040"/>
        <s v="CUST-1161"/>
        <s v="CUST-1319"/>
        <s v="CUST-1387"/>
        <s v="CUST-1412"/>
        <s v="CUST-1075"/>
        <s v="CUST-1653"/>
        <s v="CUST-1804"/>
        <s v="CUST-1808"/>
        <s v="CUST-1427"/>
        <s v="CUST-1880"/>
        <s v="CUST-1163"/>
        <s v="CUST-1348"/>
        <s v="CUST-1011"/>
        <s v="CUST-1090"/>
        <s v="CUST-1953"/>
        <s v="CUST-1990"/>
        <s v="CUST-1951"/>
        <s v="CUST-1105"/>
        <s v="CUST-1875"/>
        <s v="CUST-1305"/>
        <s v="CUST-1375"/>
        <s v="CUST-1442"/>
        <s v="CUST-1367"/>
        <s v="CUST-1734"/>
        <s v="CUST-1911"/>
        <s v="CUST-1078"/>
        <s v="CUST-1874"/>
        <s v="CUST-1726"/>
        <s v="CUST-1809"/>
        <s v="CUST-1987"/>
        <s v="CUST-1398"/>
        <s v="CUST-1648"/>
        <s v="CUST-1657"/>
        <s v="CUST-1815"/>
        <s v="CUST-1856"/>
        <s v="CUST-1977"/>
        <s v="CUST-1231"/>
        <s v="CUST-1377"/>
        <s v="CUST-1406"/>
        <s v="CUST-1028"/>
        <s v="CUST-1642"/>
        <s v="CUST-1113"/>
        <s v="CUST-1067"/>
        <s v="CUST-1756"/>
        <s v="CUST-1360"/>
        <s v="CUST-1255"/>
        <s v="CUST-1994"/>
        <s v="CUST-1352"/>
        <s v="CUST-1784"/>
        <s v="CUST-1419"/>
        <s v="CUST-1044"/>
        <s v="CUST-1069"/>
        <s v="CUST-1463"/>
        <s v="CUST-1172"/>
        <s v="CUST-1338"/>
        <s v="CUST-1474"/>
        <s v="CUST-1411"/>
        <s v="CUST-1179"/>
        <s v="CUST-1282"/>
        <s v="CUST-1849"/>
        <s v="CUST-1705"/>
        <s v="CUST-1912"/>
        <s v="CUST-1758"/>
        <s v="CUST-1558"/>
        <s v="CUST-1867"/>
        <s v="CUST-1816"/>
        <s v="CUST-1965"/>
        <s v="CUST-1372"/>
        <s v="CUST-1233"/>
        <s v="CUST-1983"/>
        <s v="CUST-1151"/>
        <s v="CUST-1748"/>
        <s v="CUST-1881"/>
        <s v="CUST-1992"/>
        <s v="CUST-1277"/>
        <s v="CUST-1363"/>
        <s v="CUST-1306"/>
        <s v="CUST-1676"/>
        <s v="CUST-1687"/>
        <s v="CUST-1219"/>
        <s v="CUST-1063"/>
        <s v="CUST-1106"/>
        <s v="CUST-1014"/>
        <s v="CUST-1118"/>
        <s v="CUST-1664"/>
        <s v="CUST-1095"/>
        <s v="CUST-1089"/>
        <s v="CUST-1369"/>
        <s v="CUST-1925"/>
        <s v="CUST-1531"/>
        <s v="CUST-1013"/>
        <s v="CUST-1551"/>
        <s v="CUST-1929"/>
        <s v="CUST-1365"/>
        <s v="CUST-1243"/>
        <s v="CUST-1394"/>
        <s v="CUST-1227"/>
        <s v="CUST-1684"/>
        <s v="CUST-1802"/>
        <s v="CUST-1479"/>
        <s v="CUST-1552"/>
        <s v="CUST-1357"/>
        <s v="CUST-1882"/>
        <s v="CUST-1060"/>
        <s v="CUST-1866"/>
        <s v="CUST-1491"/>
        <s v="CUST-1431"/>
        <s v="CUST-1093"/>
        <s v="CUST-1981"/>
        <s v="CUST-1043"/>
        <s v="CUST-1859"/>
        <s v="CUST-1182"/>
        <s v="CUST-1315"/>
        <s v="CUST-1265"/>
        <s v="CUST-1601"/>
        <s v="CUST-1520"/>
        <s v="CUST-1397"/>
        <s v="CUST-1645"/>
        <s v="CUST-1615"/>
        <s v="CUST-1852"/>
        <s v="CUST-1572"/>
        <s v="CUST-1567"/>
        <s v="CUST-1786"/>
        <s v="CUST-1583"/>
        <s v="CUST-1777"/>
        <s v="CUST-1950"/>
        <s v="CUST-1222"/>
        <s v="CUST-1408"/>
        <s v="CUST-1416"/>
        <s v="CUST-1750"/>
        <s v="CUST-1279"/>
        <s v="CUST-1546"/>
        <s v="CUST-1877"/>
        <s v="CUST-1334"/>
        <s v="CUST-1425"/>
        <s v="CUST-1288"/>
        <s v="CUST-1932"/>
        <s v="CUST-1193"/>
        <s v="CUST-1751"/>
        <s v="CUST-1647"/>
        <s v="CUST-1830"/>
        <s v="CUST-1036"/>
        <s v="CUST-1892"/>
        <s v="CUST-1801"/>
        <s v="CUST-1100"/>
        <s v="CUST-1445"/>
        <s v="CUST-1452"/>
        <s v="CUST-1771"/>
        <s v="CUST-1579"/>
        <s v="CUST-1907"/>
        <s v="CUST-1183"/>
        <s v="CUST-1828"/>
        <s v="CUST-1855"/>
        <s v="CUST-1430"/>
        <s v="CUST-1392"/>
        <s v="CUST-1940"/>
        <s v="CUST-1248"/>
        <s v="CUST-1004"/>
        <s v="CUST-1109"/>
        <s v="CUST-1016"/>
        <s v="CUST-1005"/>
        <s v="CUST-1112"/>
        <s v="CUST-1946"/>
        <s v="CUST-1178"/>
        <s v="CUST-1746"/>
        <s v="CUST-1115"/>
        <s v="CUST-1901"/>
        <s v="CUST-1963"/>
        <s v="CUST-1530"/>
        <s v="CUST-1693"/>
        <s v="CUST-1167"/>
        <s v="CUST-1391"/>
        <s v="CUST-1611"/>
        <s v="CUST-1290"/>
        <s v="CUST-1544"/>
        <s v="CUST-1074"/>
        <s v="CUST-1630"/>
        <s v="CUST-1865"/>
        <s v="CUST-1099"/>
        <s v="CUST-1065"/>
        <s v="CUST-1271"/>
        <s v="CUST-1952"/>
        <s v="CUST-1680"/>
        <s v="CUST-1084"/>
        <s v="CUST-1342"/>
        <s v="CUST-1176"/>
        <s v="CUST-1329"/>
        <s v="CUST-1854"/>
        <s v="CUST-1931"/>
        <s v="CUST-1249"/>
        <s v="CUST-1379"/>
        <s v="CUST-1919"/>
        <s v="CUST-1008"/>
        <s v="CUST-1685"/>
        <s v="CUST-1581"/>
        <s v="CUST-1449"/>
        <s v="CUST-1840"/>
        <s v="CUST-1626"/>
        <s v="CUST-1629"/>
        <s v="CUST-1675"/>
        <s v="CUST-1018"/>
        <s v="CUST-1354"/>
        <s v="CUST-1073"/>
        <s v="CUST-1886"/>
        <s v="CUST-1404"/>
        <s v="CUST-1181"/>
        <s v="CUST-1508"/>
        <s v="CUST-1188"/>
        <s v="CUST-1991"/>
        <s v="CUST-1502"/>
        <s v="CUST-1133"/>
        <s v="CUST-1538"/>
        <s v="CUST-1220"/>
        <s v="CUST-1310"/>
        <s v="CUST-1742"/>
        <s v="CUST-1054"/>
        <s v="CUST-1763"/>
        <s v="CUST-1646"/>
        <s v="CUST-1895"/>
        <s v="CUST-1349"/>
        <s v="CUST-1893"/>
        <s v="CUST-1414"/>
        <s v="CUST-1101"/>
        <s v="CUST-1490"/>
        <s v="CUST-1703"/>
        <s v="CUST-1241"/>
        <s v="CUST-1851"/>
        <s v="CUST-1525"/>
        <s v="CUST-1696"/>
        <s v="CUST-1174"/>
        <s v="CUST-1650"/>
        <s v="CUST-1047"/>
        <s v="CUST-1767"/>
        <s v="CUST-1049"/>
        <s v="CUST-1125"/>
        <s v="CUST-1673"/>
        <s v="CUST-1203"/>
        <s v="CUST-1528"/>
      </sharedItems>
    </cacheField>
    <cacheField name="FirstName" numFmtId="0">
      <sharedItems/>
    </cacheField>
    <cacheField name="LastName" numFmtId="0">
      <sharedItems/>
    </cacheField>
    <cacheField name="Email" numFmtId="0">
      <sharedItems/>
    </cacheField>
    <cacheField name="PhoneNumber" numFmtId="0">
      <sharedItems/>
    </cacheField>
    <cacheField name="Age" numFmtId="0">
      <sharedItems containsSemiMixedTypes="0" containsString="0" containsNumber="1" containsInteger="1" minValue="18" maxValue="70"/>
    </cacheField>
    <cacheField name="Gender" numFmtId="0">
      <sharedItems/>
    </cacheField>
    <cacheField name="Country" numFmtId="0">
      <sharedItems/>
    </cacheField>
    <cacheField name="City" numFmtId="0">
      <sharedItems/>
    </cacheField>
    <cacheField name="AnnualIncome" numFmtId="0">
      <sharedItems containsSemiMixedTypes="0" containsString="0" containsNumber="1" containsInteger="1" minValue="20055" maxValue="149787"/>
    </cacheField>
    <cacheField name="PurchaseHistory" numFmtId="0">
      <sharedItems containsSemiMixedTypes="0" containsString="0" containsNumber="1" containsInteger="1" minValue="0" maxValue="100"/>
    </cacheField>
    <cacheField name="LastPurchaseDate" numFmtId="164">
      <sharedItems containsSemiMixedTypes="0" containsNonDate="0" containsDate="1" containsString="0" minDate="2023-01-01T00:00:00" maxDate="2024-01-02T00:00:00"/>
    </cacheField>
    <cacheField name="SubscriptionStatus" numFmtId="0">
      <sharedItems count="3">
        <s v="Inactive"/>
        <s v="Active"/>
        <s v="Pending"/>
      </sharedItems>
    </cacheField>
    <cacheField name="FeedbackScore" numFmtId="0">
      <sharedItems containsSemiMixedTypes="0" containsString="0" containsNumber="1" containsInteger="1" minValue="1" maxValue="10"/>
    </cacheField>
    <cacheField name="LoyaltyPoints" numFmtId="0">
      <sharedItems containsSemiMixedTypes="0" containsString="0" containsNumber="1" containsInteger="1" minValue="3" maxValue="994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mantha Fernandez" refreshedDate="46315.748283564812" createdVersion="8" refreshedVersion="8" minRefreshableVersion="3" recordCount="1000" xr:uid="{ABC91682-1BA0-40BC-82EA-ADE8577C96C7}">
  <cacheSource type="worksheet">
    <worksheetSource ref="K1:L1001" sheet="Sheet1"/>
  </cacheSource>
  <cacheFields count="5">
    <cacheField name="PurchaseHistory" numFmtId="0">
      <sharedItems containsSemiMixedTypes="0" containsString="0" containsNumber="1" containsInteger="1" minValue="0" maxValue="100"/>
    </cacheField>
    <cacheField name="LastPurchaseDate" numFmtId="14">
      <sharedItems containsSemiMixedTypes="0" containsNonDate="0" containsDate="1" containsString="0" minDate="2023-01-01T00:00:00" maxDate="2024-01-02T00:00:00" count="335">
        <d v="2023-05-28T00:00:00"/>
        <d v="2023-05-12T00:00:00"/>
        <d v="2024-01-01T00:00:00"/>
        <d v="2023-03-27T00:00:00"/>
        <d v="2023-04-11T00:00:00"/>
        <d v="2023-03-06T00:00:00"/>
        <d v="2023-06-28T00:00:00"/>
        <d v="2023-08-20T00:00:00"/>
        <d v="2023-02-10T00:00:00"/>
        <d v="2023-10-02T00:00:00"/>
        <d v="2023-10-01T00:00:00"/>
        <d v="2023-09-10T00:00:00"/>
        <d v="2023-03-31T00:00:00"/>
        <d v="2023-08-30T00:00:00"/>
        <d v="2023-08-18T00:00:00"/>
        <d v="2023-04-18T00:00:00"/>
        <d v="2023-05-26T00:00:00"/>
        <d v="2023-08-10T00:00:00"/>
        <d v="2023-09-04T00:00:00"/>
        <d v="2023-12-23T00:00:00"/>
        <d v="2023-03-19T00:00:00"/>
        <d v="2023-08-28T00:00:00"/>
        <d v="2023-01-16T00:00:00"/>
        <d v="2023-11-04T00:00:00"/>
        <d v="2023-06-03T00:00:00"/>
        <d v="2023-10-28T00:00:00"/>
        <d v="2023-09-16T00:00:00"/>
        <d v="2023-09-18T00:00:00"/>
        <d v="2023-08-03T00:00:00"/>
        <d v="2023-11-19T00:00:00"/>
        <d v="2023-11-17T00:00:00"/>
        <d v="2023-07-30T00:00:00"/>
        <d v="2023-11-21T00:00:00"/>
        <d v="2023-11-07T00:00:00"/>
        <d v="2023-10-16T00:00:00"/>
        <d v="2023-06-14T00:00:00"/>
        <d v="2023-11-27T00:00:00"/>
        <d v="2023-02-15T00:00:00"/>
        <d v="2023-01-08T00:00:00"/>
        <d v="2023-07-03T00:00:00"/>
        <d v="2023-05-22T00:00:00"/>
        <d v="2023-02-04T00:00:00"/>
        <d v="2023-03-15T00:00:00"/>
        <d v="2023-02-19T00:00:00"/>
        <d v="2023-12-31T00:00:00"/>
        <d v="2023-05-08T00:00:00"/>
        <d v="2023-05-14T00:00:00"/>
        <d v="2023-12-26T00:00:00"/>
        <d v="2023-01-28T00:00:00"/>
        <d v="2023-03-17T00:00:00"/>
        <d v="2023-07-28T00:00:00"/>
        <d v="2023-05-29T00:00:00"/>
        <d v="2023-12-24T00:00:00"/>
        <d v="2023-01-31T00:00:00"/>
        <d v="2023-02-22T00:00:00"/>
        <d v="2023-11-29T00:00:00"/>
        <d v="2023-01-12T00:00:00"/>
        <d v="2023-09-30T00:00:00"/>
        <d v="2023-10-26T00:00:00"/>
        <d v="2023-12-10T00:00:00"/>
        <d v="2023-02-28T00:00:00"/>
        <d v="2023-06-23T00:00:00"/>
        <d v="2023-10-09T00:00:00"/>
        <d v="2023-02-07T00:00:00"/>
        <d v="2023-11-12T00:00:00"/>
        <d v="2023-01-15T00:00:00"/>
        <d v="2023-05-31T00:00:00"/>
        <d v="2023-04-10T00:00:00"/>
        <d v="2023-04-21T00:00:00"/>
        <d v="2023-12-25T00:00:00"/>
        <d v="2023-10-14T00:00:00"/>
        <d v="2023-09-22T00:00:00"/>
        <d v="2023-01-22T00:00:00"/>
        <d v="2023-04-16T00:00:00"/>
        <d v="2023-08-04T00:00:00"/>
        <d v="2023-06-04T00:00:00"/>
        <d v="2023-06-08T00:00:00"/>
        <d v="2023-01-02T00:00:00"/>
        <d v="2023-09-11T00:00:00"/>
        <d v="2023-12-06T00:00:00"/>
        <d v="2023-12-03T00:00:00"/>
        <d v="2023-08-13T00:00:00"/>
        <d v="2023-11-15T00:00:00"/>
        <d v="2023-05-23T00:00:00"/>
        <d v="2023-05-18T00:00:00"/>
        <d v="2023-01-24T00:00:00"/>
        <d v="2023-03-08T00:00:00"/>
        <d v="2023-02-09T00:00:00"/>
        <d v="2023-12-21T00:00:00"/>
        <d v="2023-06-01T00:00:00"/>
        <d v="2023-10-27T00:00:00"/>
        <d v="2023-12-16T00:00:00"/>
        <d v="2023-07-20T00:00:00"/>
        <d v="2023-01-25T00:00:00"/>
        <d v="2023-07-25T00:00:00"/>
        <d v="2023-08-07T00:00:00"/>
        <d v="2023-09-13T00:00:00"/>
        <d v="2023-10-20T00:00:00"/>
        <d v="2023-01-10T00:00:00"/>
        <d v="2023-07-27T00:00:00"/>
        <d v="2023-08-14T00:00:00"/>
        <d v="2023-07-09T00:00:00"/>
        <d v="2023-07-26T00:00:00"/>
        <d v="2023-04-24T00:00:00"/>
        <d v="2023-07-01T00:00:00"/>
        <d v="2023-03-02T00:00:00"/>
        <d v="2023-03-12T00:00:00"/>
        <d v="2023-09-02T00:00:00"/>
        <d v="2023-06-18T00:00:00"/>
        <d v="2023-07-14T00:00:00"/>
        <d v="2023-03-23T00:00:00"/>
        <d v="2023-02-08T00:00:00"/>
        <d v="2023-11-28T00:00:00"/>
        <d v="2023-10-24T00:00:00"/>
        <d v="2023-02-05T00:00:00"/>
        <d v="2023-03-24T00:00:00"/>
        <d v="2023-02-03T00:00:00"/>
        <d v="2023-01-29T00:00:00"/>
        <d v="2023-04-09T00:00:00"/>
        <d v="2023-01-18T00:00:00"/>
        <d v="2023-02-26T00:00:00"/>
        <d v="2023-11-14T00:00:00"/>
        <d v="2023-02-27T00:00:00"/>
        <d v="2023-12-07T00:00:00"/>
        <d v="2023-12-09T00:00:00"/>
        <d v="2023-06-06T00:00:00"/>
        <d v="2023-10-23T00:00:00"/>
        <d v="2023-03-29T00:00:00"/>
        <d v="2023-10-03T00:00:00"/>
        <d v="2023-12-18T00:00:00"/>
        <d v="2023-08-01T00:00:00"/>
        <d v="2023-09-17T00:00:00"/>
        <d v="2023-09-08T00:00:00"/>
        <d v="2023-11-26T00:00:00"/>
        <d v="2023-10-25T00:00:00"/>
        <d v="2023-05-17T00:00:00"/>
        <d v="2023-05-05T00:00:00"/>
        <d v="2023-09-12T00:00:00"/>
        <d v="2023-07-16T00:00:00"/>
        <d v="2023-12-15T00:00:00"/>
        <d v="2023-04-29T00:00:00"/>
        <d v="2023-02-17T00:00:00"/>
        <d v="2023-10-04T00:00:00"/>
        <d v="2023-01-14T00:00:00"/>
        <d v="2023-01-27T00:00:00"/>
        <d v="2023-11-25T00:00:00"/>
        <d v="2023-11-01T00:00:00"/>
        <d v="2023-08-11T00:00:00"/>
        <d v="2023-04-22T00:00:00"/>
        <d v="2023-04-27T00:00:00"/>
        <d v="2023-06-29T00:00:00"/>
        <d v="2023-05-16T00:00:00"/>
        <d v="2023-05-25T00:00:00"/>
        <d v="2023-03-18T00:00:00"/>
        <d v="2023-11-18T00:00:00"/>
        <d v="2023-12-20T00:00:00"/>
        <d v="2023-03-05T00:00:00"/>
        <d v="2023-01-20T00:00:00"/>
        <d v="2023-12-01T00:00:00"/>
        <d v="2023-01-21T00:00:00"/>
        <d v="2023-12-22T00:00:00"/>
        <d v="2023-04-06T00:00:00"/>
        <d v="2023-07-31T00:00:00"/>
        <d v="2023-07-12T00:00:00"/>
        <d v="2023-06-30T00:00:00"/>
        <d v="2023-03-11T00:00:00"/>
        <d v="2023-03-10T00:00:00"/>
        <d v="2023-06-16T00:00:00"/>
        <d v="2023-04-12T00:00:00"/>
        <d v="2023-04-02T00:00:00"/>
        <d v="2023-10-12T00:00:00"/>
        <d v="2023-11-30T00:00:00"/>
        <d v="2023-06-15T00:00:00"/>
        <d v="2023-03-16T00:00:00"/>
        <d v="2023-10-19T00:00:00"/>
        <d v="2023-01-19T00:00:00"/>
        <d v="2023-03-03T00:00:00"/>
        <d v="2023-03-25T00:00:00"/>
        <d v="2023-09-24T00:00:00"/>
        <d v="2023-10-06T00:00:00"/>
        <d v="2023-01-07T00:00:00"/>
        <d v="2023-07-11T00:00:00"/>
        <d v="2023-11-09T00:00:00"/>
        <d v="2023-07-04T00:00:00"/>
        <d v="2023-02-18T00:00:00"/>
        <d v="2023-01-11T00:00:00"/>
        <d v="2023-12-14T00:00:00"/>
        <d v="2023-07-08T00:00:00"/>
        <d v="2023-10-05T00:00:00"/>
        <d v="2023-12-29T00:00:00"/>
        <d v="2023-07-13T00:00:00"/>
        <d v="2023-08-06T00:00:00"/>
        <d v="2023-01-09T00:00:00"/>
        <d v="2023-05-09T00:00:00"/>
        <d v="2023-02-13T00:00:00"/>
        <d v="2023-05-01T00:00:00"/>
        <d v="2023-03-01T00:00:00"/>
        <d v="2023-06-10T00:00:00"/>
        <d v="2023-03-09T00:00:00"/>
        <d v="2023-10-30T00:00:00"/>
        <d v="2023-04-17T00:00:00"/>
        <d v="2023-03-07T00:00:00"/>
        <d v="2023-05-11T00:00:00"/>
        <d v="2023-08-17T00:00:00"/>
        <d v="2023-06-24T00:00:00"/>
        <d v="2023-06-20T00:00:00"/>
        <d v="2023-02-24T00:00:00"/>
        <d v="2023-05-30T00:00:00"/>
        <d v="2023-01-01T00:00:00"/>
        <d v="2023-08-27T00:00:00"/>
        <d v="2023-04-15T00:00:00"/>
        <d v="2023-03-26T00:00:00"/>
        <d v="2023-08-29T00:00:00"/>
        <d v="2023-07-24T00:00:00"/>
        <d v="2023-05-10T00:00:00"/>
        <d v="2023-03-13T00:00:00"/>
        <d v="2023-05-02T00:00:00"/>
        <d v="2023-04-26T00:00:00"/>
        <d v="2023-07-06T00:00:00"/>
        <d v="2023-02-06T00:00:00"/>
        <d v="2023-04-23T00:00:00"/>
        <d v="2023-09-03T00:00:00"/>
        <d v="2023-12-28T00:00:00"/>
        <d v="2023-11-06T00:00:00"/>
        <d v="2023-07-15T00:00:00"/>
        <d v="2023-09-21T00:00:00"/>
        <d v="2023-12-17T00:00:00"/>
        <d v="2023-03-20T00:00:00"/>
        <d v="2023-05-19T00:00:00"/>
        <d v="2023-10-17T00:00:00"/>
        <d v="2023-07-17T00:00:00"/>
        <d v="2023-12-27T00:00:00"/>
        <d v="2023-05-24T00:00:00"/>
        <d v="2023-10-22T00:00:00"/>
        <d v="2023-04-13T00:00:00"/>
        <d v="2023-07-29T00:00:00"/>
        <d v="2023-08-22T00:00:00"/>
        <d v="2023-01-06T00:00:00"/>
        <d v="2023-09-05T00:00:00"/>
        <d v="2023-01-30T00:00:00"/>
        <d v="2023-01-13T00:00:00"/>
        <d v="2023-04-01T00:00:00"/>
        <d v="2023-06-21T00:00:00"/>
        <d v="2023-06-05T00:00:00"/>
        <d v="2023-07-18T00:00:00"/>
        <d v="2023-06-09T00:00:00"/>
        <d v="2023-01-04T00:00:00"/>
        <d v="2023-07-21T00:00:00"/>
        <d v="2023-02-20T00:00:00"/>
        <d v="2023-10-07T00:00:00"/>
        <d v="2023-04-04T00:00:00"/>
        <d v="2023-04-14T00:00:00"/>
        <d v="2023-06-11T00:00:00"/>
        <d v="2023-02-25T00:00:00"/>
        <d v="2023-01-23T00:00:00"/>
        <d v="2023-05-13T00:00:00"/>
        <d v="2023-02-21T00:00:00"/>
        <d v="2023-01-05T00:00:00"/>
        <d v="2023-09-28T00:00:00"/>
        <d v="2023-04-20T00:00:00"/>
        <d v="2023-02-02T00:00:00"/>
        <d v="2023-05-20T00:00:00"/>
        <d v="2023-10-13T00:00:00"/>
        <d v="2023-06-17T00:00:00"/>
        <d v="2023-02-01T00:00:00"/>
        <d v="2023-07-19T00:00:00"/>
        <d v="2023-08-02T00:00:00"/>
        <d v="2023-07-10T00:00:00"/>
        <d v="2023-11-02T00:00:00"/>
        <d v="2023-01-26T00:00:00"/>
        <d v="2023-04-25T00:00:00"/>
        <d v="2023-11-22T00:00:00"/>
        <d v="2023-11-08T00:00:00"/>
        <d v="2023-12-04T00:00:00"/>
        <d v="2023-02-12T00:00:00"/>
        <d v="2023-05-15T00:00:00"/>
        <d v="2023-11-10T00:00:00"/>
        <d v="2023-05-04T00:00:00"/>
        <d v="2023-04-08T00:00:00"/>
        <d v="2023-04-28T00:00:00"/>
        <d v="2023-06-25T00:00:00"/>
        <d v="2023-09-09T00:00:00"/>
        <d v="2023-03-22T00:00:00"/>
        <d v="2023-07-02T00:00:00"/>
        <d v="2023-09-26T00:00:00"/>
        <d v="2023-08-24T00:00:00"/>
        <d v="2023-04-19T00:00:00"/>
        <d v="2023-12-02T00:00:00"/>
        <d v="2023-04-30T00:00:00"/>
        <d v="2023-10-08T00:00:00"/>
        <d v="2023-11-20T00:00:00"/>
        <d v="2023-02-16T00:00:00"/>
        <d v="2023-06-26T00:00:00"/>
        <d v="2023-04-07T00:00:00"/>
        <d v="2023-06-22T00:00:00"/>
        <d v="2023-08-09T00:00:00"/>
        <d v="2023-05-06T00:00:00"/>
        <d v="2023-12-11T00:00:00"/>
        <d v="2023-04-03T00:00:00"/>
        <d v="2023-09-25T00:00:00"/>
        <d v="2023-11-23T00:00:00"/>
        <d v="2023-03-04T00:00:00"/>
        <d v="2023-10-11T00:00:00"/>
        <d v="2023-03-28T00:00:00"/>
        <d v="2023-03-30T00:00:00"/>
        <d v="2023-08-31T00:00:00"/>
        <d v="2023-10-10T00:00:00"/>
        <d v="2023-08-26T00:00:00"/>
        <d v="2023-12-08T00:00:00"/>
        <d v="2023-10-21T00:00:00"/>
        <d v="2023-09-27T00:00:00"/>
        <d v="2023-06-19T00:00:00"/>
        <d v="2023-09-23T00:00:00"/>
        <d v="2023-08-16T00:00:00"/>
        <d v="2023-10-18T00:00:00"/>
        <d v="2023-04-05T00:00:00"/>
        <d v="2023-03-21T00:00:00"/>
        <d v="2023-05-07T00:00:00"/>
        <d v="2023-07-22T00:00:00"/>
        <d v="2023-08-15T00:00:00"/>
        <d v="2023-08-05T00:00:00"/>
        <d v="2023-11-03T00:00:00"/>
        <d v="2023-08-23T00:00:00"/>
        <d v="2023-09-29T00:00:00"/>
        <d v="2023-07-23T00:00:00"/>
        <d v="2023-12-13T00:00:00"/>
        <d v="2023-10-15T00:00:00"/>
        <d v="2023-06-07T00:00:00"/>
        <d v="2023-06-27T00:00:00"/>
        <d v="2023-08-25T00:00:00"/>
        <d v="2023-05-27T00:00:00"/>
        <d v="2023-06-13T00:00:00"/>
        <d v="2023-09-20T00:00:00"/>
        <d v="2023-01-03T00:00:00"/>
        <d v="2023-06-12T00:00:00"/>
      </sharedItems>
      <fieldGroup par="4"/>
    </cacheField>
    <cacheField name="Months (LastPurchaseDate)" numFmtId="0" databaseField="0">
      <fieldGroup base="1">
        <rangePr groupBy="months" startDate="2023-01-01T00:00:00" endDate="2024-01-02T00:00:00"/>
        <groupItems count="14">
          <s v="&lt;1/1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2/2024"/>
        </groupItems>
      </fieldGroup>
    </cacheField>
    <cacheField name="Quarters (LastPurchaseDate)" numFmtId="0" databaseField="0">
      <fieldGroup base="1">
        <rangePr groupBy="quarters" startDate="2023-01-01T00:00:00" endDate="2024-01-02T00:00:00"/>
        <groupItems count="6">
          <s v="&lt;1/1/2023"/>
          <s v="Qtr1"/>
          <s v="Qtr2"/>
          <s v="Qtr3"/>
          <s v="Qtr4"/>
          <s v="&gt;1/2/2024"/>
        </groupItems>
      </fieldGroup>
    </cacheField>
    <cacheField name="Years (LastPurchaseDate)" numFmtId="0" databaseField="0">
      <fieldGroup base="1">
        <rangePr groupBy="years" startDate="2023-01-01T00:00:00" endDate="2024-01-02T00:00:00"/>
        <groupItems count="4">
          <s v="&lt;1/1/2023"/>
          <s v="2023"/>
          <s v="2024"/>
          <s v="&gt;1/2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x v="0"/>
    <s v="Name858"/>
    <s v="Surname858"/>
    <s v="user858@example.com"/>
    <s v="+11627680577"/>
    <n v="57"/>
    <s v="Other"/>
    <s v="Australia"/>
    <s v="Mumbai"/>
    <n v="149787"/>
    <n v="45"/>
    <d v="2023-01-09T00:00:00"/>
    <x v="0"/>
    <n v="6"/>
    <n v="9094"/>
  </r>
  <r>
    <x v="1"/>
    <s v="Name561"/>
    <s v="Surname561"/>
    <s v="user561@example.com"/>
    <s v="+18139211621"/>
    <n v="58"/>
    <s v="Male"/>
    <s v="India"/>
    <s v="Sydney"/>
    <n v="149693"/>
    <n v="56"/>
    <d v="2023-06-12T00:00:00"/>
    <x v="1"/>
    <n v="8"/>
    <n v="5624"/>
  </r>
  <r>
    <x v="2"/>
    <s v="Name794"/>
    <s v="Surname794"/>
    <s v="user794@example.com"/>
    <s v="+16402821428"/>
    <n v="68"/>
    <s v="Male"/>
    <s v="India"/>
    <s v="New York"/>
    <n v="149209"/>
    <n v="74"/>
    <d v="2023-05-31T00:00:00"/>
    <x v="0"/>
    <n v="9"/>
    <n v="7577"/>
  </r>
  <r>
    <x v="3"/>
    <s v="Name127"/>
    <s v="Surname127"/>
    <s v="user127@example.com"/>
    <s v="+13020548172"/>
    <n v="48"/>
    <s v="Male"/>
    <s v="India"/>
    <s v="New York"/>
    <n v="148964"/>
    <n v="60"/>
    <d v="2023-05-04T00:00:00"/>
    <x v="0"/>
    <n v="7"/>
    <n v="8102"/>
  </r>
  <r>
    <x v="4"/>
    <s v="Name267"/>
    <s v="Surname267"/>
    <s v="user267@example.com"/>
    <s v="+14286397754"/>
    <n v="35"/>
    <s v="Male"/>
    <s v="India"/>
    <s v="Sydney"/>
    <n v="148942"/>
    <n v="90"/>
    <d v="2023-12-31T00:00:00"/>
    <x v="0"/>
    <n v="7"/>
    <n v="4123"/>
  </r>
  <r>
    <x v="5"/>
    <s v="Name247"/>
    <s v="Surname247"/>
    <s v="user247@example.com"/>
    <s v="+17702285451"/>
    <n v="34"/>
    <s v="Male"/>
    <s v="UK"/>
    <s v="London"/>
    <n v="148790"/>
    <n v="13"/>
    <d v="2023-07-30T00:00:00"/>
    <x v="1"/>
    <n v="1"/>
    <n v="5472"/>
  </r>
  <r>
    <x v="6"/>
    <s v="Name554"/>
    <s v="Surname554"/>
    <s v="user554@example.com"/>
    <s v="+17917114338"/>
    <n v="45"/>
    <s v="Male"/>
    <s v="India"/>
    <s v="Sydney"/>
    <n v="148686"/>
    <n v="20"/>
    <d v="2023-11-04T00:00:00"/>
    <x v="2"/>
    <n v="7"/>
    <n v="908"/>
  </r>
  <r>
    <x v="7"/>
    <s v="Name335"/>
    <s v="Surname335"/>
    <s v="user335@example.com"/>
    <s v="+14260861346"/>
    <n v="55"/>
    <s v="Female"/>
    <s v="USA"/>
    <s v="New York"/>
    <n v="148584"/>
    <n v="80"/>
    <d v="2023-06-25T00:00:00"/>
    <x v="1"/>
    <n v="5"/>
    <n v="5189"/>
  </r>
  <r>
    <x v="8"/>
    <s v="Name624"/>
    <s v="Surname624"/>
    <s v="user624@example.com"/>
    <s v="+19365457524"/>
    <n v="50"/>
    <s v="Other"/>
    <s v="India"/>
    <s v="Toronto"/>
    <n v="148501"/>
    <n v="41"/>
    <d v="2023-05-04T00:00:00"/>
    <x v="1"/>
    <n v="6"/>
    <n v="9650"/>
  </r>
  <r>
    <x v="9"/>
    <s v="Name23"/>
    <s v="Surname23"/>
    <s v="user23@example.com"/>
    <s v="+15629798423"/>
    <n v="61"/>
    <s v="Other"/>
    <s v="USA"/>
    <s v="Toronto"/>
    <n v="148486"/>
    <n v="3"/>
    <d v="2023-12-10T00:00:00"/>
    <x v="2"/>
    <n v="9"/>
    <n v="568"/>
  </r>
  <r>
    <x v="10"/>
    <s v="Name900"/>
    <s v="Surname900"/>
    <s v="user900@example.com"/>
    <s v="+18912041292"/>
    <n v="29"/>
    <s v="Male"/>
    <s v="UK"/>
    <s v="Mumbai"/>
    <n v="148129"/>
    <n v="17"/>
    <d v="2023-06-09T00:00:00"/>
    <x v="2"/>
    <n v="2"/>
    <n v="5561"/>
  </r>
  <r>
    <x v="11"/>
    <s v="Name598"/>
    <s v="Surname598"/>
    <s v="user598@example.com"/>
    <s v="+19771379485"/>
    <n v="28"/>
    <s v="Male"/>
    <s v="Australia"/>
    <s v="Sydney"/>
    <n v="148049"/>
    <n v="96"/>
    <d v="2023-12-22T00:00:00"/>
    <x v="2"/>
    <n v="3"/>
    <n v="1013"/>
  </r>
  <r>
    <x v="12"/>
    <s v="Name20"/>
    <s v="Surname20"/>
    <s v="user20@example.com"/>
    <s v="+16940794554"/>
    <n v="21"/>
    <s v="Female"/>
    <s v="UK"/>
    <s v="Toronto"/>
    <n v="148030"/>
    <n v="30"/>
    <d v="2023-09-05T00:00:00"/>
    <x v="2"/>
    <n v="4"/>
    <n v="7927"/>
  </r>
  <r>
    <x v="13"/>
    <s v="Name609"/>
    <s v="Surname609"/>
    <s v="user609@example.com"/>
    <s v="+19195233981"/>
    <n v="50"/>
    <s v="Female"/>
    <s v="Australia"/>
    <s v="Toronto"/>
    <n v="147867"/>
    <n v="40"/>
    <d v="2023-06-24T00:00:00"/>
    <x v="2"/>
    <n v="10"/>
    <n v="4937"/>
  </r>
  <r>
    <x v="14"/>
    <s v="Name694"/>
    <s v="Surname694"/>
    <s v="user694@example.com"/>
    <s v="+11813575952"/>
    <n v="21"/>
    <s v="Male"/>
    <s v="Canada"/>
    <s v="London"/>
    <n v="147814"/>
    <n v="54"/>
    <d v="2023-07-16T00:00:00"/>
    <x v="2"/>
    <n v="8"/>
    <n v="5321"/>
  </r>
  <r>
    <x v="15"/>
    <s v="Name144"/>
    <s v="Surname144"/>
    <s v="user144@example.com"/>
    <s v="+18355991810"/>
    <n v="35"/>
    <s v="Female"/>
    <s v="UK"/>
    <s v="New York"/>
    <n v="147755"/>
    <n v="9"/>
    <d v="2023-09-27T00:00:00"/>
    <x v="2"/>
    <n v="9"/>
    <n v="2037"/>
  </r>
  <r>
    <x v="16"/>
    <s v="Name621"/>
    <s v="Surname621"/>
    <s v="user621@example.com"/>
    <s v="+17280899090"/>
    <n v="69"/>
    <s v="Male"/>
    <s v="India"/>
    <s v="Mumbai"/>
    <n v="147646"/>
    <n v="94"/>
    <d v="2023-12-17T00:00:00"/>
    <x v="1"/>
    <n v="6"/>
    <n v="168"/>
  </r>
  <r>
    <x v="17"/>
    <s v="Name587"/>
    <s v="Surname587"/>
    <s v="user587@example.com"/>
    <s v="+14400919917"/>
    <n v="29"/>
    <s v="Other"/>
    <s v="Canada"/>
    <s v="Sydney"/>
    <n v="147638"/>
    <n v="58"/>
    <d v="2023-03-07T00:00:00"/>
    <x v="2"/>
    <n v="2"/>
    <n v="996"/>
  </r>
  <r>
    <x v="18"/>
    <s v="Name789"/>
    <s v="Surname789"/>
    <s v="user789@example.com"/>
    <s v="+17148057769"/>
    <n v="49"/>
    <s v="Female"/>
    <s v="USA"/>
    <s v="Mumbai"/>
    <n v="147622"/>
    <n v="92"/>
    <d v="2023-10-13T00:00:00"/>
    <x v="1"/>
    <n v="6"/>
    <n v="4912"/>
  </r>
  <r>
    <x v="19"/>
    <s v="Name744"/>
    <s v="Surname744"/>
    <s v="user744@example.com"/>
    <s v="+11031028672"/>
    <n v="63"/>
    <s v="Male"/>
    <s v="Canada"/>
    <s v="Sydney"/>
    <n v="147525"/>
    <n v="19"/>
    <d v="2023-06-22T00:00:00"/>
    <x v="1"/>
    <n v="2"/>
    <n v="3888"/>
  </r>
  <r>
    <x v="20"/>
    <s v="Name795"/>
    <s v="Surname795"/>
    <s v="user795@example.com"/>
    <s v="+13281858352"/>
    <n v="64"/>
    <s v="Other"/>
    <s v="Canada"/>
    <s v="New York"/>
    <n v="147049"/>
    <n v="92"/>
    <d v="2023-03-16T00:00:00"/>
    <x v="0"/>
    <n v="3"/>
    <n v="4650"/>
  </r>
  <r>
    <x v="21"/>
    <s v="Name212"/>
    <s v="Surname212"/>
    <s v="user212@example.com"/>
    <s v="+15702763278"/>
    <n v="67"/>
    <s v="Other"/>
    <s v="UK"/>
    <s v="New York"/>
    <n v="147037"/>
    <n v="64"/>
    <d v="2023-02-07T00:00:00"/>
    <x v="1"/>
    <n v="10"/>
    <n v="1661"/>
  </r>
  <r>
    <x v="22"/>
    <s v="Name787"/>
    <s v="Surname787"/>
    <s v="user787@example.com"/>
    <s v="+19774678511"/>
    <n v="66"/>
    <s v="Other"/>
    <s v="Australia"/>
    <s v="Mumbai"/>
    <n v="146919"/>
    <n v="29"/>
    <d v="2023-08-05T00:00:00"/>
    <x v="1"/>
    <n v="10"/>
    <n v="5079"/>
  </r>
  <r>
    <x v="23"/>
    <s v="Name841"/>
    <s v="Surname841"/>
    <s v="user841@example.com"/>
    <s v="+12105981589"/>
    <n v="64"/>
    <s v="Other"/>
    <s v="India"/>
    <s v="Sydney"/>
    <n v="146820"/>
    <n v="61"/>
    <d v="2023-08-20T00:00:00"/>
    <x v="1"/>
    <n v="8"/>
    <n v="8544"/>
  </r>
  <r>
    <x v="24"/>
    <s v="Name635"/>
    <s v="Surname635"/>
    <s v="user635@example.com"/>
    <s v="+15835110399"/>
    <n v="59"/>
    <s v="Female"/>
    <s v="UK"/>
    <s v="New York"/>
    <n v="146705"/>
    <n v="47"/>
    <d v="2023-01-03T00:00:00"/>
    <x v="2"/>
    <n v="4"/>
    <n v="8211"/>
  </r>
  <r>
    <x v="25"/>
    <s v="Name897"/>
    <s v="Surname897"/>
    <s v="user897@example.com"/>
    <s v="+12124889026"/>
    <n v="53"/>
    <s v="Male"/>
    <s v="USA"/>
    <s v="New York"/>
    <n v="146533"/>
    <n v="75"/>
    <d v="2023-11-04T00:00:00"/>
    <x v="0"/>
    <n v="5"/>
    <n v="1012"/>
  </r>
  <r>
    <x v="26"/>
    <s v="Name300"/>
    <s v="Surname300"/>
    <s v="user300@example.com"/>
    <s v="+11445380724"/>
    <n v="57"/>
    <s v="Other"/>
    <s v="Canada"/>
    <s v="Mumbai"/>
    <n v="146441"/>
    <n v="87"/>
    <d v="2023-12-16T00:00:00"/>
    <x v="2"/>
    <n v="2"/>
    <n v="5095"/>
  </r>
  <r>
    <x v="27"/>
    <s v="Name382"/>
    <s v="Surname382"/>
    <s v="user382@example.com"/>
    <s v="+15209426527"/>
    <n v="67"/>
    <s v="Female"/>
    <s v="Australia"/>
    <s v="New York"/>
    <n v="146271"/>
    <n v="54"/>
    <d v="2023-10-01T00:00:00"/>
    <x v="2"/>
    <n v="9"/>
    <n v="6789"/>
  </r>
  <r>
    <x v="28"/>
    <s v="Name341"/>
    <s v="Surname341"/>
    <s v="user341@example.com"/>
    <s v="+19943341656"/>
    <n v="68"/>
    <s v="Female"/>
    <s v="India"/>
    <s v="London"/>
    <n v="146117"/>
    <n v="79"/>
    <d v="2023-09-12T00:00:00"/>
    <x v="0"/>
    <n v="8"/>
    <n v="9712"/>
  </r>
  <r>
    <x v="29"/>
    <s v="Name834"/>
    <s v="Surname834"/>
    <s v="user834@example.com"/>
    <s v="+17225390282"/>
    <n v="39"/>
    <s v="Other"/>
    <s v="USA"/>
    <s v="Toronto"/>
    <n v="146027"/>
    <n v="31"/>
    <d v="2023-07-14T00:00:00"/>
    <x v="2"/>
    <n v="7"/>
    <n v="7926"/>
  </r>
  <r>
    <x v="30"/>
    <s v="Name384"/>
    <s v="Surname384"/>
    <s v="user384@example.com"/>
    <s v="+19910589082"/>
    <n v="64"/>
    <s v="Other"/>
    <s v="Australia"/>
    <s v="London"/>
    <n v="146007"/>
    <n v="91"/>
    <d v="2023-09-20T00:00:00"/>
    <x v="0"/>
    <n v="3"/>
    <n v="686"/>
  </r>
  <r>
    <x v="31"/>
    <s v="Name721"/>
    <s v="Surname721"/>
    <s v="user721@example.com"/>
    <s v="+15332218676"/>
    <n v="31"/>
    <s v="Other"/>
    <s v="UK"/>
    <s v="Sydney"/>
    <n v="146006"/>
    <n v="84"/>
    <d v="2023-09-20T00:00:00"/>
    <x v="2"/>
    <n v="5"/>
    <n v="4957"/>
  </r>
  <r>
    <x v="32"/>
    <s v="Name45"/>
    <s v="Surname45"/>
    <s v="user45@example.com"/>
    <s v="+13285403079"/>
    <n v="31"/>
    <s v="Other"/>
    <s v="Canada"/>
    <s v="New York"/>
    <n v="145946"/>
    <n v="95"/>
    <d v="2023-03-12T00:00:00"/>
    <x v="0"/>
    <n v="1"/>
    <n v="8946"/>
  </r>
  <r>
    <x v="33"/>
    <s v="Name692"/>
    <s v="Surname692"/>
    <s v="user692@example.com"/>
    <s v="+14685098281"/>
    <n v="50"/>
    <s v="Other"/>
    <s v="UK"/>
    <s v="Sydney"/>
    <n v="145604"/>
    <n v="14"/>
    <d v="2023-01-28T00:00:00"/>
    <x v="2"/>
    <n v="2"/>
    <n v="7192"/>
  </r>
  <r>
    <x v="34"/>
    <s v="Name346"/>
    <s v="Surname346"/>
    <s v="user346@example.com"/>
    <s v="+18082951000"/>
    <n v="34"/>
    <s v="Female"/>
    <s v="Australia"/>
    <s v="Sydney"/>
    <n v="145559"/>
    <n v="62"/>
    <d v="2023-01-14T00:00:00"/>
    <x v="0"/>
    <n v="3"/>
    <n v="9403"/>
  </r>
  <r>
    <x v="35"/>
    <s v="Name640"/>
    <s v="Surname640"/>
    <s v="user640@example.com"/>
    <s v="+16604510094"/>
    <n v="19"/>
    <s v="Male"/>
    <s v="USA"/>
    <s v="London"/>
    <n v="145313"/>
    <n v="67"/>
    <d v="2023-10-04T00:00:00"/>
    <x v="2"/>
    <n v="5"/>
    <n v="4103"/>
  </r>
  <r>
    <x v="36"/>
    <s v="Name569"/>
    <s v="Surname569"/>
    <s v="user569@example.com"/>
    <s v="+18997077435"/>
    <n v="51"/>
    <s v="Female"/>
    <s v="USA"/>
    <s v="Toronto"/>
    <n v="145280"/>
    <n v="0"/>
    <d v="2023-11-29T00:00:00"/>
    <x v="2"/>
    <n v="7"/>
    <n v="1082"/>
  </r>
  <r>
    <x v="37"/>
    <s v="Name594"/>
    <s v="Surname594"/>
    <s v="user594@example.com"/>
    <s v="+18235454481"/>
    <n v="25"/>
    <s v="Female"/>
    <s v="USA"/>
    <s v="New York"/>
    <n v="145214"/>
    <n v="2"/>
    <d v="2023-07-08T00:00:00"/>
    <x v="2"/>
    <n v="6"/>
    <n v="5761"/>
  </r>
  <r>
    <x v="38"/>
    <s v="Name270"/>
    <s v="Surname270"/>
    <s v="user270@example.com"/>
    <s v="+17006376584"/>
    <n v="25"/>
    <s v="Other"/>
    <s v="India"/>
    <s v="Toronto"/>
    <n v="145174"/>
    <n v="77"/>
    <d v="2023-12-23T00:00:00"/>
    <x v="1"/>
    <n v="6"/>
    <n v="4763"/>
  </r>
  <r>
    <x v="39"/>
    <s v="Name6"/>
    <s v="Surname6"/>
    <s v="user6@example.com"/>
    <s v="+14283234997"/>
    <n v="49"/>
    <s v="Female"/>
    <s v="Canada"/>
    <s v="New York"/>
    <n v="145157"/>
    <n v="20"/>
    <d v="2023-09-08T00:00:00"/>
    <x v="2"/>
    <n v="3"/>
    <n v="9941"/>
  </r>
  <r>
    <x v="40"/>
    <s v="Name250"/>
    <s v="Surname250"/>
    <s v="user250@example.com"/>
    <s v="+12536738957"/>
    <n v="42"/>
    <s v="Male"/>
    <s v="India"/>
    <s v="New York"/>
    <n v="144958"/>
    <n v="96"/>
    <d v="2023-11-27T00:00:00"/>
    <x v="1"/>
    <n v="5"/>
    <n v="1523"/>
  </r>
  <r>
    <x v="41"/>
    <s v="Name717"/>
    <s v="Surname717"/>
    <s v="user717@example.com"/>
    <s v="+11795492643"/>
    <n v="63"/>
    <s v="Other"/>
    <s v="Australia"/>
    <s v="Toronto"/>
    <n v="144776"/>
    <n v="29"/>
    <d v="2023-12-15T00:00:00"/>
    <x v="1"/>
    <n v="7"/>
    <n v="1747"/>
  </r>
  <r>
    <x v="42"/>
    <s v="Name864"/>
    <s v="Surname864"/>
    <s v="user864@example.com"/>
    <s v="+12025136832"/>
    <n v="34"/>
    <s v="Male"/>
    <s v="Canada"/>
    <s v="New York"/>
    <n v="144767"/>
    <n v="80"/>
    <d v="2023-04-06T00:00:00"/>
    <x v="2"/>
    <n v="3"/>
    <n v="1974"/>
  </r>
  <r>
    <x v="43"/>
    <s v="Name754"/>
    <s v="Surname754"/>
    <s v="user754@example.com"/>
    <s v="+18973745132"/>
    <n v="59"/>
    <s v="Male"/>
    <s v="Australia"/>
    <s v="London"/>
    <n v="144739"/>
    <n v="62"/>
    <d v="2023-08-18T00:00:00"/>
    <x v="0"/>
    <n v="7"/>
    <n v="8569"/>
  </r>
  <r>
    <x v="44"/>
    <s v="Name139"/>
    <s v="Surname139"/>
    <s v="user139@example.com"/>
    <s v="+11164073544"/>
    <n v="20"/>
    <s v="Other"/>
    <s v="Australia"/>
    <s v="Toronto"/>
    <n v="144539"/>
    <n v="93"/>
    <d v="2023-12-14T00:00:00"/>
    <x v="1"/>
    <n v="8"/>
    <n v="1038"/>
  </r>
  <r>
    <x v="45"/>
    <s v="Name366"/>
    <s v="Surname366"/>
    <s v="user366@example.com"/>
    <s v="+18986046969"/>
    <n v="36"/>
    <s v="Other"/>
    <s v="India"/>
    <s v="Mumbai"/>
    <n v="144459"/>
    <n v="76"/>
    <d v="2023-03-30T00:00:00"/>
    <x v="2"/>
    <n v="2"/>
    <n v="4768"/>
  </r>
  <r>
    <x v="46"/>
    <s v="Name51"/>
    <s v="Surname51"/>
    <s v="user51@example.com"/>
    <s v="+13226611282"/>
    <n v="22"/>
    <s v="Other"/>
    <s v="India"/>
    <s v="Toronto"/>
    <n v="144435"/>
    <n v="84"/>
    <d v="2023-02-19T00:00:00"/>
    <x v="2"/>
    <n v="4"/>
    <n v="9712"/>
  </r>
  <r>
    <x v="47"/>
    <s v="Name356"/>
    <s v="Surname356"/>
    <s v="user356@example.com"/>
    <s v="+14615767996"/>
    <n v="59"/>
    <s v="Female"/>
    <s v="Canada"/>
    <s v="Toronto"/>
    <n v="144416"/>
    <n v="27"/>
    <d v="2023-10-20T00:00:00"/>
    <x v="0"/>
    <n v="5"/>
    <n v="1372"/>
  </r>
  <r>
    <x v="48"/>
    <s v="Name493"/>
    <s v="Surname493"/>
    <s v="user493@example.com"/>
    <s v="+18612327874"/>
    <n v="65"/>
    <s v="Other"/>
    <s v="India"/>
    <s v="New York"/>
    <n v="144192"/>
    <n v="42"/>
    <d v="2023-07-19T00:00:00"/>
    <x v="0"/>
    <n v="10"/>
    <n v="4327"/>
  </r>
  <r>
    <x v="49"/>
    <s v="Name455"/>
    <s v="Surname455"/>
    <s v="user455@example.com"/>
    <s v="+16838135002"/>
    <n v="41"/>
    <s v="Male"/>
    <s v="India"/>
    <s v="Sydney"/>
    <n v="144014"/>
    <n v="73"/>
    <d v="2023-12-09T00:00:00"/>
    <x v="1"/>
    <n v="6"/>
    <n v="6136"/>
  </r>
  <r>
    <x v="50"/>
    <s v="Name326"/>
    <s v="Surname326"/>
    <s v="user326@example.com"/>
    <s v="+11383194378"/>
    <n v="18"/>
    <s v="Other"/>
    <s v="India"/>
    <s v="London"/>
    <n v="143980"/>
    <n v="35"/>
    <d v="2023-05-15T00:00:00"/>
    <x v="1"/>
    <n v="9"/>
    <n v="22"/>
  </r>
  <r>
    <x v="51"/>
    <s v="Name58"/>
    <s v="Surname58"/>
    <s v="user58@example.com"/>
    <s v="+11548406677"/>
    <n v="27"/>
    <s v="Other"/>
    <s v="Australia"/>
    <s v="London"/>
    <n v="143823"/>
    <n v="5"/>
    <d v="2023-07-22T00:00:00"/>
    <x v="0"/>
    <n v="10"/>
    <n v="5222"/>
  </r>
  <r>
    <x v="52"/>
    <s v="Name370"/>
    <s v="Surname370"/>
    <s v="user370@example.com"/>
    <s v="+15044010218"/>
    <n v="68"/>
    <s v="Other"/>
    <s v="Australia"/>
    <s v="London"/>
    <n v="143467"/>
    <n v="86"/>
    <d v="2023-05-28T00:00:00"/>
    <x v="1"/>
    <n v="4"/>
    <n v="8478"/>
  </r>
  <r>
    <x v="53"/>
    <s v="Name644"/>
    <s v="Surname644"/>
    <s v="user644@example.com"/>
    <s v="+16733961340"/>
    <n v="32"/>
    <s v="Female"/>
    <s v="Australia"/>
    <s v="London"/>
    <n v="143076"/>
    <n v="56"/>
    <d v="2023-06-03T00:00:00"/>
    <x v="2"/>
    <n v="4"/>
    <n v="5113"/>
  </r>
  <r>
    <x v="54"/>
    <s v="Name988"/>
    <s v="Surname988"/>
    <s v="user988@example.com"/>
    <s v="+19428496268"/>
    <n v="34"/>
    <s v="Female"/>
    <s v="Australia"/>
    <s v="Mumbai"/>
    <n v="142879"/>
    <n v="4"/>
    <d v="2023-05-15T00:00:00"/>
    <x v="1"/>
    <n v="7"/>
    <n v="6751"/>
  </r>
  <r>
    <x v="55"/>
    <s v="Name72"/>
    <s v="Surname72"/>
    <s v="user72@example.com"/>
    <s v="+14328177004"/>
    <n v="52"/>
    <s v="Male"/>
    <s v="India"/>
    <s v="Toronto"/>
    <n v="142805"/>
    <n v="12"/>
    <d v="2023-07-27T00:00:00"/>
    <x v="0"/>
    <n v="2"/>
    <n v="2642"/>
  </r>
  <r>
    <x v="56"/>
    <s v="Name899"/>
    <s v="Surname899"/>
    <s v="user899@example.com"/>
    <s v="+18015943361"/>
    <n v="63"/>
    <s v="Other"/>
    <s v="UK"/>
    <s v="Sydney"/>
    <n v="142801"/>
    <n v="13"/>
    <d v="2023-04-20T00:00:00"/>
    <x v="0"/>
    <n v="6"/>
    <n v="8169"/>
  </r>
  <r>
    <x v="57"/>
    <s v="Name451"/>
    <s v="Surname451"/>
    <s v="user451@example.com"/>
    <s v="+13196360754"/>
    <n v="63"/>
    <s v="Male"/>
    <s v="Australia"/>
    <s v="Mumbai"/>
    <n v="142737"/>
    <n v="54"/>
    <d v="2023-05-16T00:00:00"/>
    <x v="2"/>
    <n v="6"/>
    <n v="5982"/>
  </r>
  <r>
    <x v="58"/>
    <s v="Name613"/>
    <s v="Surname613"/>
    <s v="user613@example.com"/>
    <s v="+19192857003"/>
    <n v="50"/>
    <s v="Male"/>
    <s v="USA"/>
    <s v="New York"/>
    <n v="142659"/>
    <n v="56"/>
    <d v="2023-08-30T00:00:00"/>
    <x v="0"/>
    <n v="8"/>
    <n v="9551"/>
  </r>
  <r>
    <x v="59"/>
    <s v="Name195"/>
    <s v="Surname195"/>
    <s v="user195@example.com"/>
    <s v="+15669058500"/>
    <n v="26"/>
    <s v="Female"/>
    <s v="UK"/>
    <s v="New York"/>
    <n v="142446"/>
    <n v="54"/>
    <d v="2023-09-27T00:00:00"/>
    <x v="1"/>
    <n v="1"/>
    <n v="8964"/>
  </r>
  <r>
    <x v="60"/>
    <s v="Name565"/>
    <s v="Surname565"/>
    <s v="user565@example.com"/>
    <s v="+13067415249"/>
    <n v="45"/>
    <s v="Female"/>
    <s v="USA"/>
    <s v="Sydney"/>
    <n v="142386"/>
    <n v="34"/>
    <d v="2023-04-17T00:00:00"/>
    <x v="0"/>
    <n v="7"/>
    <n v="338"/>
  </r>
  <r>
    <x v="61"/>
    <s v="Name418"/>
    <s v="Surname418"/>
    <s v="user418@example.com"/>
    <s v="+15381826298"/>
    <n v="28"/>
    <s v="Female"/>
    <s v="India"/>
    <s v="Toronto"/>
    <n v="142343"/>
    <n v="1"/>
    <d v="2023-12-20T00:00:00"/>
    <x v="2"/>
    <n v="8"/>
    <n v="6408"/>
  </r>
  <r>
    <x v="62"/>
    <s v="Name997"/>
    <s v="Surname997"/>
    <s v="user997@example.com"/>
    <s v="+15165342930"/>
    <n v="61"/>
    <s v="Other"/>
    <s v="USA"/>
    <s v="London"/>
    <n v="142151"/>
    <n v="36"/>
    <d v="2023-10-28T00:00:00"/>
    <x v="1"/>
    <n v="3"/>
    <n v="5599"/>
  </r>
  <r>
    <x v="63"/>
    <s v="Name376"/>
    <s v="Surname376"/>
    <s v="user376@example.com"/>
    <s v="+18079677629"/>
    <n v="42"/>
    <s v="Female"/>
    <s v="Canada"/>
    <s v="New York"/>
    <n v="142144"/>
    <n v="84"/>
    <d v="2023-02-07T00:00:00"/>
    <x v="1"/>
    <n v="1"/>
    <n v="6274"/>
  </r>
  <r>
    <x v="64"/>
    <s v="Name422"/>
    <s v="Surname422"/>
    <s v="user422@example.com"/>
    <s v="+12681551949"/>
    <n v="54"/>
    <s v="Other"/>
    <s v="India"/>
    <s v="London"/>
    <n v="142010"/>
    <n v="30"/>
    <d v="2023-01-10T00:00:00"/>
    <x v="2"/>
    <n v="10"/>
    <n v="3908"/>
  </r>
  <r>
    <x v="65"/>
    <s v="Name312"/>
    <s v="Surname312"/>
    <s v="user312@example.com"/>
    <s v="+17718049195"/>
    <n v="53"/>
    <s v="Other"/>
    <s v="India"/>
    <s v="New York"/>
    <n v="141843"/>
    <n v="47"/>
    <d v="2023-08-05T00:00:00"/>
    <x v="0"/>
    <n v="10"/>
    <n v="642"/>
  </r>
  <r>
    <x v="66"/>
    <s v="Name894"/>
    <s v="Surname894"/>
    <s v="user894@example.com"/>
    <s v="+19979877084"/>
    <n v="33"/>
    <s v="Other"/>
    <s v="Canada"/>
    <s v="Sydney"/>
    <n v="141838"/>
    <n v="75"/>
    <d v="2023-07-15T00:00:00"/>
    <x v="0"/>
    <n v="8"/>
    <n v="6128"/>
  </r>
  <r>
    <x v="67"/>
    <s v="Name207"/>
    <s v="Surname207"/>
    <s v="user207@example.com"/>
    <s v="+18629916559"/>
    <n v="18"/>
    <s v="Male"/>
    <s v="Canada"/>
    <s v="Sydney"/>
    <n v="141635"/>
    <n v="89"/>
    <d v="2023-08-22T00:00:00"/>
    <x v="2"/>
    <n v="1"/>
    <n v="7192"/>
  </r>
  <r>
    <x v="68"/>
    <s v="Name927"/>
    <s v="Surname927"/>
    <s v="user927@example.com"/>
    <s v="+14250442639"/>
    <n v="62"/>
    <s v="Female"/>
    <s v="Canada"/>
    <s v="Toronto"/>
    <n v="141547"/>
    <n v="14"/>
    <d v="2023-02-03T00:00:00"/>
    <x v="2"/>
    <n v="6"/>
    <n v="959"/>
  </r>
  <r>
    <x v="69"/>
    <s v="Name678"/>
    <s v="Surname678"/>
    <s v="user678@example.com"/>
    <s v="+11257243302"/>
    <n v="55"/>
    <s v="Female"/>
    <s v="India"/>
    <s v="Mumbai"/>
    <n v="141485"/>
    <n v="31"/>
    <d v="2023-08-30T00:00:00"/>
    <x v="2"/>
    <n v="10"/>
    <n v="9669"/>
  </r>
  <r>
    <x v="70"/>
    <s v="Name706"/>
    <s v="Surname706"/>
    <s v="user706@example.com"/>
    <s v="+17969271346"/>
    <n v="34"/>
    <s v="Male"/>
    <s v="Australia"/>
    <s v="Mumbai"/>
    <n v="141465"/>
    <n v="9"/>
    <d v="2023-11-01T00:00:00"/>
    <x v="2"/>
    <n v="10"/>
    <n v="9636"/>
  </r>
  <r>
    <x v="71"/>
    <s v="Name91"/>
    <s v="Surname91"/>
    <s v="user91@example.com"/>
    <s v="+16653930729"/>
    <n v="53"/>
    <s v="Other"/>
    <s v="India"/>
    <s v="Toronto"/>
    <n v="141438"/>
    <n v="99"/>
    <d v="2023-12-26T00:00:00"/>
    <x v="0"/>
    <n v="6"/>
    <n v="6741"/>
  </r>
  <r>
    <x v="72"/>
    <s v="Name749"/>
    <s v="Surname749"/>
    <s v="user749@example.com"/>
    <s v="+14420436946"/>
    <n v="52"/>
    <s v="Female"/>
    <s v="USA"/>
    <s v="Sydney"/>
    <n v="141116"/>
    <n v="5"/>
    <d v="2023-04-20T00:00:00"/>
    <x v="2"/>
    <n v="9"/>
    <n v="1147"/>
  </r>
  <r>
    <x v="73"/>
    <s v="Name822"/>
    <s v="Surname822"/>
    <s v="user822@example.com"/>
    <s v="+13100377207"/>
    <n v="52"/>
    <s v="Female"/>
    <s v="India"/>
    <s v="Sydney"/>
    <n v="141019"/>
    <n v="16"/>
    <d v="2023-06-13T00:00:00"/>
    <x v="1"/>
    <n v="3"/>
    <n v="1461"/>
  </r>
  <r>
    <x v="74"/>
    <s v="Name986"/>
    <s v="Surname986"/>
    <s v="user986@example.com"/>
    <s v="+18512232702"/>
    <n v="55"/>
    <s v="Female"/>
    <s v="UK"/>
    <s v="Sydney"/>
    <n v="141013"/>
    <n v="63"/>
    <d v="2023-10-28T00:00:00"/>
    <x v="2"/>
    <n v="9"/>
    <n v="7980"/>
  </r>
  <r>
    <x v="75"/>
    <s v="Name970"/>
    <s v="Surname970"/>
    <s v="user970@example.com"/>
    <s v="+15227101376"/>
    <n v="24"/>
    <s v="Other"/>
    <s v="Canada"/>
    <s v="Sydney"/>
    <n v="140893"/>
    <n v="8"/>
    <d v="2023-07-04T00:00:00"/>
    <x v="1"/>
    <n v="6"/>
    <n v="6582"/>
  </r>
  <r>
    <x v="76"/>
    <s v="Name584"/>
    <s v="Surname584"/>
    <s v="user584@example.com"/>
    <s v="+18978189424"/>
    <n v="27"/>
    <s v="Other"/>
    <s v="Canada"/>
    <s v="Sydney"/>
    <n v="140808"/>
    <n v="82"/>
    <d v="2023-09-17T00:00:00"/>
    <x v="0"/>
    <n v="9"/>
    <n v="8744"/>
  </r>
  <r>
    <x v="77"/>
    <s v="Name913"/>
    <s v="Surname913"/>
    <s v="user913@example.com"/>
    <s v="+13421454771"/>
    <n v="26"/>
    <s v="Male"/>
    <s v="USA"/>
    <s v="Mumbai"/>
    <n v="140721"/>
    <n v="47"/>
    <d v="2023-10-06T00:00:00"/>
    <x v="2"/>
    <n v="1"/>
    <n v="2643"/>
  </r>
  <r>
    <x v="78"/>
    <s v="Name796"/>
    <s v="Surname796"/>
    <s v="user796@example.com"/>
    <s v="+14136356936"/>
    <n v="64"/>
    <s v="Other"/>
    <s v="Canada"/>
    <s v="Mumbai"/>
    <n v="140720"/>
    <n v="50"/>
    <d v="2023-10-08T00:00:00"/>
    <x v="0"/>
    <n v="8"/>
    <n v="5953"/>
  </r>
  <r>
    <x v="79"/>
    <s v="Name898"/>
    <s v="Surname898"/>
    <s v="user898@example.com"/>
    <s v="+11848506723"/>
    <n v="31"/>
    <s v="Other"/>
    <s v="Australia"/>
    <s v="New York"/>
    <n v="140601"/>
    <n v="62"/>
    <d v="2023-03-09T00:00:00"/>
    <x v="0"/>
    <n v="1"/>
    <n v="6878"/>
  </r>
  <r>
    <x v="80"/>
    <s v="Name351"/>
    <s v="Surname351"/>
    <s v="user351@example.com"/>
    <s v="+12571829637"/>
    <n v="37"/>
    <s v="Male"/>
    <s v="India"/>
    <s v="New York"/>
    <n v="140539"/>
    <n v="77"/>
    <d v="2023-03-02T00:00:00"/>
    <x v="0"/>
    <n v="1"/>
    <n v="8286"/>
  </r>
  <r>
    <x v="81"/>
    <s v="Name945"/>
    <s v="Surname945"/>
    <s v="user945@example.com"/>
    <s v="+12886557920"/>
    <n v="49"/>
    <s v="Female"/>
    <s v="India"/>
    <s v="Sydney"/>
    <n v="140363"/>
    <n v="33"/>
    <d v="2023-07-28T00:00:00"/>
    <x v="1"/>
    <n v="8"/>
    <n v="8224"/>
  </r>
  <r>
    <x v="82"/>
    <s v="Name782"/>
    <s v="Surname782"/>
    <s v="user782@example.com"/>
    <s v="+18287370033"/>
    <n v="21"/>
    <s v="Other"/>
    <s v="India"/>
    <s v="New York"/>
    <n v="140348"/>
    <n v="19"/>
    <d v="2023-02-13T00:00:00"/>
    <x v="2"/>
    <n v="6"/>
    <n v="8265"/>
  </r>
  <r>
    <x v="83"/>
    <s v="Name318"/>
    <s v="Surname318"/>
    <s v="user318@example.com"/>
    <s v="+15200201475"/>
    <n v="36"/>
    <s v="Female"/>
    <s v="Australia"/>
    <s v="Mumbai"/>
    <n v="140297"/>
    <n v="77"/>
    <d v="2023-03-12T00:00:00"/>
    <x v="0"/>
    <n v="9"/>
    <n v="2354"/>
  </r>
  <r>
    <x v="84"/>
    <s v="Name797"/>
    <s v="Surname797"/>
    <s v="user797@example.com"/>
    <s v="+18457520408"/>
    <n v="62"/>
    <s v="Other"/>
    <s v="India"/>
    <s v="Mumbai"/>
    <n v="140186"/>
    <n v="55"/>
    <d v="2023-03-05T00:00:00"/>
    <x v="2"/>
    <n v="4"/>
    <n v="5824"/>
  </r>
  <r>
    <x v="85"/>
    <s v="Name299"/>
    <s v="Surname299"/>
    <s v="user299@example.com"/>
    <s v="+18497238054"/>
    <n v="35"/>
    <s v="Female"/>
    <s v="UK"/>
    <s v="Sydney"/>
    <n v="140166"/>
    <n v="2"/>
    <d v="2023-05-14T00:00:00"/>
    <x v="0"/>
    <n v="10"/>
    <n v="7894"/>
  </r>
  <r>
    <x v="86"/>
    <s v="Name50"/>
    <s v="Surname50"/>
    <s v="user50@example.com"/>
    <s v="+13516910408"/>
    <n v="22"/>
    <s v="Female"/>
    <s v="Australia"/>
    <s v="Mumbai"/>
    <n v="140085"/>
    <n v="11"/>
    <d v="2023-05-30T00:00:00"/>
    <x v="1"/>
    <n v="8"/>
    <n v="8278"/>
  </r>
  <r>
    <x v="87"/>
    <s v="Name52"/>
    <s v="Surname52"/>
    <s v="user52@example.com"/>
    <s v="+15143283083"/>
    <n v="59"/>
    <s v="Other"/>
    <s v="UK"/>
    <s v="Sydney"/>
    <n v="140000"/>
    <n v="69"/>
    <d v="2023-03-31T00:00:00"/>
    <x v="1"/>
    <n v="5"/>
    <n v="4879"/>
  </r>
  <r>
    <x v="88"/>
    <s v="Name460"/>
    <s v="Surname460"/>
    <s v="user460@example.com"/>
    <s v="+13100941879"/>
    <n v="22"/>
    <s v="Other"/>
    <s v="India"/>
    <s v="Toronto"/>
    <n v="139878"/>
    <n v="56"/>
    <d v="2023-05-27T00:00:00"/>
    <x v="0"/>
    <n v="5"/>
    <n v="5735"/>
  </r>
  <r>
    <x v="89"/>
    <s v="Name505"/>
    <s v="Surname505"/>
    <s v="user505@example.com"/>
    <s v="+17310910977"/>
    <n v="60"/>
    <s v="Other"/>
    <s v="Australia"/>
    <s v="New York"/>
    <n v="139863"/>
    <n v="31"/>
    <d v="2023-11-26T00:00:00"/>
    <x v="2"/>
    <n v="7"/>
    <n v="2600"/>
  </r>
  <r>
    <x v="90"/>
    <s v="Name386"/>
    <s v="Surname386"/>
    <s v="user386@example.com"/>
    <s v="+18098679417"/>
    <n v="32"/>
    <s v="Male"/>
    <s v="USA"/>
    <s v="New York"/>
    <n v="139769"/>
    <n v="68"/>
    <d v="2023-10-14T00:00:00"/>
    <x v="0"/>
    <n v="7"/>
    <n v="1882"/>
  </r>
  <r>
    <x v="91"/>
    <s v="Name975"/>
    <s v="Surname975"/>
    <s v="user975@example.com"/>
    <s v="+15836736154"/>
    <n v="57"/>
    <s v="Male"/>
    <s v="Australia"/>
    <s v="London"/>
    <n v="139719"/>
    <n v="69"/>
    <d v="2023-08-22T00:00:00"/>
    <x v="0"/>
    <n v="2"/>
    <n v="8842"/>
  </r>
  <r>
    <x v="92"/>
    <s v="Name681"/>
    <s v="Surname681"/>
    <s v="user681@example.com"/>
    <s v="+18927557868"/>
    <n v="44"/>
    <s v="Male"/>
    <s v="USA"/>
    <s v="New York"/>
    <n v="139352"/>
    <n v="25"/>
    <d v="2023-05-26T00:00:00"/>
    <x v="0"/>
    <n v="1"/>
    <n v="3761"/>
  </r>
  <r>
    <x v="93"/>
    <s v="Name985"/>
    <s v="Surname985"/>
    <s v="user985@example.com"/>
    <s v="+11152811007"/>
    <n v="45"/>
    <s v="Female"/>
    <s v="India"/>
    <s v="New York"/>
    <n v="139177"/>
    <n v="45"/>
    <d v="2023-03-09T00:00:00"/>
    <x v="2"/>
    <n v="10"/>
    <n v="6960"/>
  </r>
  <r>
    <x v="94"/>
    <s v="Name868"/>
    <s v="Surname868"/>
    <s v="user868@example.com"/>
    <s v="+12596787917"/>
    <n v="37"/>
    <s v="Female"/>
    <s v="USA"/>
    <s v="New York"/>
    <n v="139010"/>
    <n v="74"/>
    <d v="2023-04-15T00:00:00"/>
    <x v="0"/>
    <n v="2"/>
    <n v="3317"/>
  </r>
  <r>
    <x v="95"/>
    <s v="Name206"/>
    <s v="Surname206"/>
    <s v="user206@example.com"/>
    <s v="+14718663488"/>
    <n v="70"/>
    <s v="Female"/>
    <s v="UK"/>
    <s v="London"/>
    <n v="138976"/>
    <n v="64"/>
    <d v="2023-07-23T00:00:00"/>
    <x v="2"/>
    <n v="2"/>
    <n v="4172"/>
  </r>
  <r>
    <x v="96"/>
    <s v="Name10"/>
    <s v="Surname10"/>
    <s v="user10@example.com"/>
    <s v="+12307480679"/>
    <n v="70"/>
    <s v="Female"/>
    <s v="UK"/>
    <s v="Mumbai"/>
    <n v="138866"/>
    <n v="78"/>
    <d v="2023-06-25T00:00:00"/>
    <x v="2"/>
    <n v="5"/>
    <n v="7682"/>
  </r>
  <r>
    <x v="97"/>
    <s v="Name253"/>
    <s v="Surname253"/>
    <s v="user253@example.com"/>
    <s v="+13326316993"/>
    <n v="66"/>
    <s v="Male"/>
    <s v="Canada"/>
    <s v="London"/>
    <n v="138756"/>
    <n v="3"/>
    <d v="2023-07-11T00:00:00"/>
    <x v="1"/>
    <n v="3"/>
    <n v="2577"/>
  </r>
  <r>
    <x v="98"/>
    <s v="Name654"/>
    <s v="Surname654"/>
    <s v="user654@example.com"/>
    <s v="+17404391113"/>
    <n v="66"/>
    <s v="Other"/>
    <s v="India"/>
    <s v="London"/>
    <n v="138706"/>
    <n v="32"/>
    <d v="2023-03-13T00:00:00"/>
    <x v="1"/>
    <n v="8"/>
    <n v="3922"/>
  </r>
  <r>
    <x v="99"/>
    <s v="Name610"/>
    <s v="Surname610"/>
    <s v="user610@example.com"/>
    <s v="+19132005571"/>
    <n v="21"/>
    <s v="Male"/>
    <s v="Canada"/>
    <s v="Toronto"/>
    <n v="138559"/>
    <n v="100"/>
    <d v="2023-12-26T00:00:00"/>
    <x v="2"/>
    <n v="1"/>
    <n v="1707"/>
  </r>
  <r>
    <x v="100"/>
    <s v="Name800"/>
    <s v="Surname800"/>
    <s v="user800@example.com"/>
    <s v="+15834023823"/>
    <n v="19"/>
    <s v="Male"/>
    <s v="India"/>
    <s v="Sydney"/>
    <n v="138515"/>
    <n v="19"/>
    <d v="2023-12-13T00:00:00"/>
    <x v="2"/>
    <n v="6"/>
    <n v="7841"/>
  </r>
  <r>
    <x v="101"/>
    <s v="Name239"/>
    <s v="Surname239"/>
    <s v="user239@example.com"/>
    <s v="+14960812918"/>
    <n v="59"/>
    <s v="Male"/>
    <s v="USA"/>
    <s v="Toronto"/>
    <n v="138495"/>
    <n v="63"/>
    <d v="2023-07-31T00:00:00"/>
    <x v="1"/>
    <n v="2"/>
    <n v="1119"/>
  </r>
  <r>
    <x v="102"/>
    <s v="Name588"/>
    <s v="Surname588"/>
    <s v="user588@example.com"/>
    <s v="+14836589412"/>
    <n v="69"/>
    <s v="Female"/>
    <s v="Canada"/>
    <s v="Sydney"/>
    <n v="138454"/>
    <n v="64"/>
    <d v="2023-02-12T00:00:00"/>
    <x v="2"/>
    <n v="1"/>
    <n v="1273"/>
  </r>
  <r>
    <x v="103"/>
    <s v="Name545"/>
    <s v="Surname545"/>
    <s v="user545@example.com"/>
    <s v="+19135645223"/>
    <n v="23"/>
    <s v="Female"/>
    <s v="USA"/>
    <s v="Mumbai"/>
    <n v="138317"/>
    <n v="8"/>
    <d v="2023-04-06T00:00:00"/>
    <x v="0"/>
    <n v="3"/>
    <n v="8848"/>
  </r>
  <r>
    <x v="104"/>
    <s v="Name563"/>
    <s v="Surname563"/>
    <s v="user563@example.com"/>
    <s v="+15785259624"/>
    <n v="43"/>
    <s v="Male"/>
    <s v="USA"/>
    <s v="Sydney"/>
    <n v="138102"/>
    <n v="16"/>
    <d v="2023-05-31T00:00:00"/>
    <x v="2"/>
    <n v="4"/>
    <n v="8090"/>
  </r>
  <r>
    <x v="105"/>
    <s v="Name104"/>
    <s v="Surname104"/>
    <s v="user104@example.com"/>
    <s v="+18976097513"/>
    <n v="26"/>
    <s v="Male"/>
    <s v="India"/>
    <s v="Mumbai"/>
    <n v="138034"/>
    <n v="87"/>
    <d v="2023-11-30T00:00:00"/>
    <x v="1"/>
    <n v="7"/>
    <n v="4851"/>
  </r>
  <r>
    <x v="106"/>
    <s v="Name103"/>
    <s v="Surname103"/>
    <s v="user103@example.com"/>
    <s v="+15582426581"/>
    <n v="48"/>
    <s v="Female"/>
    <s v="USA"/>
    <s v="Mumbai"/>
    <n v="138028"/>
    <n v="46"/>
    <d v="2023-02-28T00:00:00"/>
    <x v="2"/>
    <n v="8"/>
    <n v="8889"/>
  </r>
  <r>
    <x v="107"/>
    <s v="Name820"/>
    <s v="Surname820"/>
    <s v="user820@example.com"/>
    <s v="+15716384816"/>
    <n v="24"/>
    <s v="Female"/>
    <s v="Australia"/>
    <s v="New York"/>
    <n v="137680"/>
    <n v="1"/>
    <d v="2023-05-11T00:00:00"/>
    <x v="2"/>
    <n v="10"/>
    <n v="8242"/>
  </r>
  <r>
    <x v="108"/>
    <s v="Name826"/>
    <s v="Surname826"/>
    <s v="user826@example.com"/>
    <s v="+13730523530"/>
    <n v="69"/>
    <s v="Female"/>
    <s v="USA"/>
    <s v="New York"/>
    <n v="137329"/>
    <n v="42"/>
    <d v="2023-03-17T00:00:00"/>
    <x v="0"/>
    <n v="4"/>
    <n v="119"/>
  </r>
  <r>
    <x v="109"/>
    <s v="Name152"/>
    <s v="Surname152"/>
    <s v="user152@example.com"/>
    <s v="+17194221335"/>
    <n v="21"/>
    <s v="Male"/>
    <s v="India"/>
    <s v="New York"/>
    <n v="137218"/>
    <n v="24"/>
    <d v="2023-08-25T00:00:00"/>
    <x v="0"/>
    <n v="4"/>
    <n v="4973"/>
  </r>
  <r>
    <x v="110"/>
    <s v="Name79"/>
    <s v="Surname79"/>
    <s v="user79@example.com"/>
    <s v="+13465392887"/>
    <n v="39"/>
    <s v="Other"/>
    <s v="India"/>
    <s v="London"/>
    <n v="137141"/>
    <n v="46"/>
    <d v="2023-11-10T00:00:00"/>
    <x v="0"/>
    <n v="8"/>
    <n v="607"/>
  </r>
  <r>
    <x v="111"/>
    <s v="Name500"/>
    <s v="Surname500"/>
    <s v="user500@example.com"/>
    <s v="+11378870573"/>
    <n v="54"/>
    <s v="Male"/>
    <s v="USA"/>
    <s v="London"/>
    <n v="137132"/>
    <n v="59"/>
    <d v="2023-03-20T00:00:00"/>
    <x v="0"/>
    <n v="4"/>
    <n v="3303"/>
  </r>
  <r>
    <x v="112"/>
    <s v="Name481"/>
    <s v="Surname481"/>
    <s v="user481@example.com"/>
    <s v="+14388208657"/>
    <n v="48"/>
    <s v="Female"/>
    <s v="UK"/>
    <s v="New York"/>
    <n v="137124"/>
    <n v="96"/>
    <d v="2023-11-02T00:00:00"/>
    <x v="0"/>
    <n v="2"/>
    <n v="3462"/>
  </r>
  <r>
    <x v="113"/>
    <s v="Name155"/>
    <s v="Surname155"/>
    <s v="user155@example.com"/>
    <s v="+16707506455"/>
    <n v="42"/>
    <s v="Male"/>
    <s v="USA"/>
    <s v="London"/>
    <n v="136861"/>
    <n v="91"/>
    <d v="2023-06-20T00:00:00"/>
    <x v="2"/>
    <n v="5"/>
    <n v="1887"/>
  </r>
  <r>
    <x v="114"/>
    <s v="Name577"/>
    <s v="Surname577"/>
    <s v="user577@example.com"/>
    <s v="+16819512696"/>
    <n v="39"/>
    <s v="Other"/>
    <s v="UK"/>
    <s v="New York"/>
    <n v="136726"/>
    <n v="99"/>
    <d v="2023-03-05T00:00:00"/>
    <x v="0"/>
    <n v="1"/>
    <n v="3131"/>
  </r>
  <r>
    <x v="115"/>
    <s v="Name659"/>
    <s v="Surname659"/>
    <s v="user659@example.com"/>
    <s v="+15809561263"/>
    <n v="38"/>
    <s v="Other"/>
    <s v="Canada"/>
    <s v="Sydney"/>
    <n v="136473"/>
    <n v="64"/>
    <d v="2023-07-08T00:00:00"/>
    <x v="1"/>
    <n v="5"/>
    <n v="9081"/>
  </r>
  <r>
    <x v="116"/>
    <s v="Name616"/>
    <s v="Surname616"/>
    <s v="user616@example.com"/>
    <s v="+14088774162"/>
    <n v="22"/>
    <s v="Female"/>
    <s v="USA"/>
    <s v="New York"/>
    <n v="136353"/>
    <n v="55"/>
    <d v="2023-03-13T00:00:00"/>
    <x v="2"/>
    <n v="9"/>
    <n v="7674"/>
  </r>
  <r>
    <x v="117"/>
    <s v="Name359"/>
    <s v="Surname359"/>
    <s v="user359@example.com"/>
    <s v="+12645758312"/>
    <n v="22"/>
    <s v="Other"/>
    <s v="Canada"/>
    <s v="New York"/>
    <n v="136270"/>
    <n v="44"/>
    <d v="2023-12-17T00:00:00"/>
    <x v="1"/>
    <n v="4"/>
    <n v="1825"/>
  </r>
  <r>
    <x v="118"/>
    <s v="Name537"/>
    <s v="Surname537"/>
    <s v="user537@example.com"/>
    <s v="+11537744861"/>
    <n v="30"/>
    <s v="Female"/>
    <s v="Australia"/>
    <s v="Sydney"/>
    <n v="135623"/>
    <n v="52"/>
    <d v="2023-01-08T00:00:00"/>
    <x v="2"/>
    <n v="6"/>
    <n v="6745"/>
  </r>
  <r>
    <x v="119"/>
    <s v="Name322"/>
    <s v="Surname322"/>
    <s v="user322@example.com"/>
    <s v="+18238263412"/>
    <n v="69"/>
    <s v="Other"/>
    <s v="Canada"/>
    <s v="New York"/>
    <n v="135599"/>
    <n v="65"/>
    <d v="2023-01-13T00:00:00"/>
    <x v="0"/>
    <n v="7"/>
    <n v="2646"/>
  </r>
  <r>
    <x v="120"/>
    <s v="Name656"/>
    <s v="Surname656"/>
    <s v="user656@example.com"/>
    <s v="+14574682249"/>
    <n v="49"/>
    <s v="Other"/>
    <s v="Canada"/>
    <s v="Mumbai"/>
    <n v="135567"/>
    <n v="0"/>
    <d v="2023-07-09T00:00:00"/>
    <x v="1"/>
    <n v="7"/>
    <n v="4551"/>
  </r>
  <r>
    <x v="121"/>
    <s v="Name780"/>
    <s v="Surname780"/>
    <s v="user780@example.com"/>
    <s v="+14878443425"/>
    <n v="24"/>
    <s v="Female"/>
    <s v="Australia"/>
    <s v="Sydney"/>
    <n v="135413"/>
    <n v="49"/>
    <d v="2023-11-23T00:00:00"/>
    <x v="2"/>
    <n v="4"/>
    <n v="7646"/>
  </r>
  <r>
    <x v="122"/>
    <s v="Name934"/>
    <s v="Surname934"/>
    <s v="user934@example.com"/>
    <s v="+14866122170"/>
    <n v="67"/>
    <s v="Male"/>
    <s v="Australia"/>
    <s v="London"/>
    <n v="135126"/>
    <n v="38"/>
    <d v="2023-05-16T00:00:00"/>
    <x v="0"/>
    <n v="9"/>
    <n v="2772"/>
  </r>
  <r>
    <x v="123"/>
    <s v="Name301"/>
    <s v="Surname301"/>
    <s v="user301@example.com"/>
    <s v="+19182452113"/>
    <n v="46"/>
    <s v="Female"/>
    <s v="India"/>
    <s v="London"/>
    <n v="134597"/>
    <n v="57"/>
    <d v="2023-10-08T00:00:00"/>
    <x v="1"/>
    <n v="3"/>
    <n v="1613"/>
  </r>
  <r>
    <x v="124"/>
    <s v="Name291"/>
    <s v="Surname291"/>
    <s v="user291@example.com"/>
    <s v="+18811573402"/>
    <n v="62"/>
    <s v="Other"/>
    <s v="UK"/>
    <s v="Mumbai"/>
    <n v="134290"/>
    <n v="98"/>
    <d v="2023-10-12T00:00:00"/>
    <x v="0"/>
    <n v="5"/>
    <n v="7612"/>
  </r>
  <r>
    <x v="125"/>
    <s v="Name138"/>
    <s v="Surname138"/>
    <s v="user138@example.com"/>
    <s v="+12295335471"/>
    <n v="30"/>
    <s v="Female"/>
    <s v="USA"/>
    <s v="Mumbai"/>
    <n v="134203"/>
    <n v="8"/>
    <d v="2023-01-26T00:00:00"/>
    <x v="2"/>
    <n v="10"/>
    <n v="6286"/>
  </r>
  <r>
    <x v="126"/>
    <s v="Name9"/>
    <s v="Surname9"/>
    <s v="user9@example.com"/>
    <s v="+17968361618"/>
    <n v="58"/>
    <s v="Male"/>
    <s v="Canada"/>
    <s v="New York"/>
    <n v="134059"/>
    <n v="82"/>
    <d v="2023-07-23T00:00:00"/>
    <x v="0"/>
    <n v="10"/>
    <n v="5169"/>
  </r>
  <r>
    <x v="127"/>
    <s v="Name234"/>
    <s v="Surname234"/>
    <s v="user234@example.com"/>
    <s v="+19546494482"/>
    <n v="68"/>
    <s v="Female"/>
    <s v="Australia"/>
    <s v="Toronto"/>
    <n v="134039"/>
    <n v="95"/>
    <d v="2023-01-10T00:00:00"/>
    <x v="0"/>
    <n v="3"/>
    <n v="1948"/>
  </r>
  <r>
    <x v="128"/>
    <s v="Name740"/>
    <s v="Surname740"/>
    <s v="user740@example.com"/>
    <s v="+16645271095"/>
    <n v="58"/>
    <s v="Male"/>
    <s v="India"/>
    <s v="New York"/>
    <n v="133961"/>
    <n v="1"/>
    <d v="2023-04-28T00:00:00"/>
    <x v="1"/>
    <n v="1"/>
    <n v="8525"/>
  </r>
  <r>
    <x v="129"/>
    <s v="Name205"/>
    <s v="Surname205"/>
    <s v="user205@example.com"/>
    <s v="+18602460161"/>
    <n v="20"/>
    <s v="Female"/>
    <s v="UK"/>
    <s v="Sydney"/>
    <n v="133932"/>
    <n v="46"/>
    <d v="2023-09-10T00:00:00"/>
    <x v="2"/>
    <n v="2"/>
    <n v="3363"/>
  </r>
  <r>
    <x v="130"/>
    <s v="Name957"/>
    <s v="Surname957"/>
    <s v="user957@example.com"/>
    <s v="+19197948820"/>
    <n v="51"/>
    <s v="Other"/>
    <s v="India"/>
    <s v="New York"/>
    <n v="133897"/>
    <n v="15"/>
    <d v="2023-01-23T00:00:00"/>
    <x v="0"/>
    <n v="5"/>
    <n v="9874"/>
  </r>
  <r>
    <x v="131"/>
    <s v="Name547"/>
    <s v="Surname547"/>
    <s v="user547@example.com"/>
    <s v="+15698554949"/>
    <n v="62"/>
    <s v="Female"/>
    <s v="Canada"/>
    <s v="Sydney"/>
    <n v="133812"/>
    <n v="88"/>
    <d v="2023-07-09T00:00:00"/>
    <x v="2"/>
    <n v="10"/>
    <n v="4252"/>
  </r>
  <r>
    <x v="132"/>
    <s v="Name218"/>
    <s v="Surname218"/>
    <s v="user218@example.com"/>
    <s v="+12862542891"/>
    <n v="42"/>
    <s v="Male"/>
    <s v="USA"/>
    <s v="Mumbai"/>
    <n v="133481"/>
    <n v="68"/>
    <d v="2023-02-22T00:00:00"/>
    <x v="2"/>
    <n v="3"/>
    <n v="9049"/>
  </r>
  <r>
    <x v="133"/>
    <s v="Name424"/>
    <s v="Surname424"/>
    <s v="user424@example.com"/>
    <s v="+15181048673"/>
    <n v="61"/>
    <s v="Male"/>
    <s v="USA"/>
    <s v="London"/>
    <n v="133423"/>
    <n v="66"/>
    <d v="2023-09-16T00:00:00"/>
    <x v="0"/>
    <n v="1"/>
    <n v="4772"/>
  </r>
  <r>
    <x v="134"/>
    <s v="Name627"/>
    <s v="Surname627"/>
    <s v="user627@example.com"/>
    <s v="+14493438793"/>
    <n v="21"/>
    <s v="Other"/>
    <s v="Australia"/>
    <s v="Toronto"/>
    <n v="133320"/>
    <n v="61"/>
    <d v="2023-12-25T00:00:00"/>
    <x v="0"/>
    <n v="1"/>
    <n v="1377"/>
  </r>
  <r>
    <x v="135"/>
    <s v="Name194"/>
    <s v="Surname194"/>
    <s v="user194@example.com"/>
    <s v="+15969913937"/>
    <n v="53"/>
    <s v="Other"/>
    <s v="USA"/>
    <s v="Toronto"/>
    <n v="133280"/>
    <n v="88"/>
    <d v="2023-03-13T00:00:00"/>
    <x v="2"/>
    <n v="9"/>
    <n v="8738"/>
  </r>
  <r>
    <x v="136"/>
    <s v="Name287"/>
    <s v="Surname287"/>
    <s v="user287@example.com"/>
    <s v="+12123365668"/>
    <n v="33"/>
    <s v="Female"/>
    <s v="Australia"/>
    <s v="New York"/>
    <n v="133130"/>
    <n v="48"/>
    <d v="2023-06-27T00:00:00"/>
    <x v="2"/>
    <n v="1"/>
    <n v="4063"/>
  </r>
  <r>
    <x v="137"/>
    <s v="Name522"/>
    <s v="Surname522"/>
    <s v="user522@example.com"/>
    <s v="+15941520165"/>
    <n v="37"/>
    <s v="Male"/>
    <s v="India"/>
    <s v="Mumbai"/>
    <n v="133129"/>
    <n v="74"/>
    <d v="2023-06-07T00:00:00"/>
    <x v="1"/>
    <n v="6"/>
    <n v="8420"/>
  </r>
  <r>
    <x v="138"/>
    <s v="Name871"/>
    <s v="Surname871"/>
    <s v="user871@example.com"/>
    <s v="+12855317926"/>
    <n v="39"/>
    <s v="Other"/>
    <s v="India"/>
    <s v="Toronto"/>
    <n v="132577"/>
    <n v="64"/>
    <d v="2023-05-16T00:00:00"/>
    <x v="2"/>
    <n v="4"/>
    <n v="430"/>
  </r>
  <r>
    <x v="139"/>
    <s v="Name492"/>
    <s v="Surname492"/>
    <s v="user492@example.com"/>
    <s v="+12861846228"/>
    <n v="48"/>
    <s v="Male"/>
    <s v="Australia"/>
    <s v="New York"/>
    <n v="132486"/>
    <n v="95"/>
    <d v="2023-01-27T00:00:00"/>
    <x v="1"/>
    <n v="1"/>
    <n v="9387"/>
  </r>
  <r>
    <x v="140"/>
    <s v="Name269"/>
    <s v="Surname269"/>
    <s v="user269@example.com"/>
    <s v="+12389369349"/>
    <n v="67"/>
    <s v="Male"/>
    <s v="India"/>
    <s v="Sydney"/>
    <n v="132476"/>
    <n v="45"/>
    <d v="2023-10-15T00:00:00"/>
    <x v="1"/>
    <n v="7"/>
    <n v="9051"/>
  </r>
  <r>
    <x v="141"/>
    <s v="Name665"/>
    <s v="Surname665"/>
    <s v="user665@example.com"/>
    <s v="+13655538776"/>
    <n v="34"/>
    <s v="Male"/>
    <s v="USA"/>
    <s v="New York"/>
    <n v="132353"/>
    <n v="5"/>
    <d v="2023-03-18T00:00:00"/>
    <x v="1"/>
    <n v="4"/>
    <n v="5276"/>
  </r>
  <r>
    <x v="142"/>
    <s v="Name263"/>
    <s v="Surname263"/>
    <s v="user263@example.com"/>
    <s v="+17869483931"/>
    <n v="56"/>
    <s v="Male"/>
    <s v="UK"/>
    <s v="New York"/>
    <n v="132346"/>
    <n v="89"/>
    <d v="2023-11-01T00:00:00"/>
    <x v="1"/>
    <n v="3"/>
    <n v="3085"/>
  </r>
  <r>
    <x v="143"/>
    <s v="Name649"/>
    <s v="Surname649"/>
    <s v="user649@example.com"/>
    <s v="+19030534117"/>
    <n v="43"/>
    <s v="Female"/>
    <s v="USA"/>
    <s v="Sydney"/>
    <n v="132326"/>
    <n v="26"/>
    <d v="2023-12-10T00:00:00"/>
    <x v="0"/>
    <n v="1"/>
    <n v="553"/>
  </r>
  <r>
    <x v="144"/>
    <s v="Name818"/>
    <s v="Surname818"/>
    <s v="user818@example.com"/>
    <s v="+19803959757"/>
    <n v="23"/>
    <s v="Male"/>
    <s v="UK"/>
    <s v="Toronto"/>
    <n v="132280"/>
    <n v="57"/>
    <d v="2023-12-11T00:00:00"/>
    <x v="0"/>
    <n v="10"/>
    <n v="8906"/>
  </r>
  <r>
    <x v="145"/>
    <s v="Name843"/>
    <s v="Surname843"/>
    <s v="user843@example.com"/>
    <s v="+13403119951"/>
    <n v="59"/>
    <s v="Female"/>
    <s v="India"/>
    <s v="London"/>
    <n v="132184"/>
    <n v="90"/>
    <d v="2023-12-15T00:00:00"/>
    <x v="1"/>
    <n v="9"/>
    <n v="7798"/>
  </r>
  <r>
    <x v="146"/>
    <s v="Name472"/>
    <s v="Surname472"/>
    <s v="user472@example.com"/>
    <s v="+15602543569"/>
    <n v="67"/>
    <s v="Female"/>
    <s v="Australia"/>
    <s v="New York"/>
    <n v="132159"/>
    <n v="75"/>
    <d v="2023-12-13T00:00:00"/>
    <x v="2"/>
    <n v="1"/>
    <n v="1201"/>
  </r>
  <r>
    <x v="147"/>
    <s v="Name124"/>
    <s v="Surname124"/>
    <s v="user124@example.com"/>
    <s v="+14988841928"/>
    <n v="62"/>
    <s v="Female"/>
    <s v="UK"/>
    <s v="London"/>
    <n v="132140"/>
    <n v="90"/>
    <d v="2023-06-04T00:00:00"/>
    <x v="1"/>
    <n v="10"/>
    <n v="7061"/>
  </r>
  <r>
    <x v="148"/>
    <s v="Name42"/>
    <s v="Surname42"/>
    <s v="user42@example.com"/>
    <s v="+14396294588"/>
    <n v="56"/>
    <s v="Female"/>
    <s v="Australia"/>
    <s v="Toronto"/>
    <n v="132108"/>
    <n v="53"/>
    <d v="2023-07-23T00:00:00"/>
    <x v="1"/>
    <n v="6"/>
    <n v="5790"/>
  </r>
  <r>
    <x v="149"/>
    <s v="Name700"/>
    <s v="Surname700"/>
    <s v="user700@example.com"/>
    <s v="+15144584220"/>
    <n v="66"/>
    <s v="Other"/>
    <s v="Australia"/>
    <s v="New York"/>
    <n v="131997"/>
    <n v="45"/>
    <d v="2023-05-09T00:00:00"/>
    <x v="1"/>
    <n v="5"/>
    <n v="4766"/>
  </r>
  <r>
    <x v="150"/>
    <s v="Name562"/>
    <s v="Surname562"/>
    <s v="user562@example.com"/>
    <s v="+13326759531"/>
    <n v="69"/>
    <s v="Male"/>
    <s v="India"/>
    <s v="New York"/>
    <n v="131994"/>
    <n v="76"/>
    <d v="2023-09-29T00:00:00"/>
    <x v="0"/>
    <n v="7"/>
    <n v="4484"/>
  </r>
  <r>
    <x v="151"/>
    <s v="Name503"/>
    <s v="Surname503"/>
    <s v="user503@example.com"/>
    <s v="+17981032959"/>
    <n v="59"/>
    <s v="Male"/>
    <s v="Australia"/>
    <s v="Sydney"/>
    <n v="131969"/>
    <n v="66"/>
    <d v="2023-08-04T00:00:00"/>
    <x v="0"/>
    <n v="3"/>
    <n v="593"/>
  </r>
  <r>
    <x v="152"/>
    <s v="Name202"/>
    <s v="Surname202"/>
    <s v="user202@example.com"/>
    <s v="+19006263931"/>
    <n v="43"/>
    <s v="Female"/>
    <s v="India"/>
    <s v="Toronto"/>
    <n v="131692"/>
    <n v="84"/>
    <d v="2023-06-03T00:00:00"/>
    <x v="1"/>
    <n v="6"/>
    <n v="6046"/>
  </r>
  <r>
    <x v="153"/>
    <s v="Name447"/>
    <s v="Surname447"/>
    <s v="user447@example.com"/>
    <s v="+13590950968"/>
    <n v="46"/>
    <s v="Other"/>
    <s v="UK"/>
    <s v="Sydney"/>
    <n v="131523"/>
    <n v="19"/>
    <d v="2023-03-13T00:00:00"/>
    <x v="1"/>
    <n v="9"/>
    <n v="690"/>
  </r>
  <r>
    <x v="154"/>
    <s v="Name96"/>
    <s v="Surname96"/>
    <s v="user96@example.com"/>
    <s v="+18748126717"/>
    <n v="29"/>
    <s v="Male"/>
    <s v="UK"/>
    <s v="New York"/>
    <n v="131500"/>
    <n v="100"/>
    <d v="2023-05-04T00:00:00"/>
    <x v="1"/>
    <n v="6"/>
    <n v="8241"/>
  </r>
  <r>
    <x v="155"/>
    <s v="Name516"/>
    <s v="Surname516"/>
    <s v="user516@example.com"/>
    <s v="+18351849263"/>
    <n v="23"/>
    <s v="Female"/>
    <s v="USA"/>
    <s v="Sydney"/>
    <n v="131446"/>
    <n v="70"/>
    <d v="2023-07-28T00:00:00"/>
    <x v="1"/>
    <n v="10"/>
    <n v="3267"/>
  </r>
  <r>
    <x v="156"/>
    <s v="Name873"/>
    <s v="Surname873"/>
    <s v="user873@example.com"/>
    <s v="+11733530749"/>
    <n v="36"/>
    <s v="Other"/>
    <s v="Australia"/>
    <s v="Mumbai"/>
    <n v="131312"/>
    <n v="69"/>
    <d v="2023-07-12T00:00:00"/>
    <x v="1"/>
    <n v="7"/>
    <n v="2149"/>
  </r>
  <r>
    <x v="157"/>
    <s v="Name136"/>
    <s v="Surname136"/>
    <s v="user136@example.com"/>
    <s v="+13129230076"/>
    <n v="31"/>
    <s v="Other"/>
    <s v="UK"/>
    <s v="London"/>
    <n v="131267"/>
    <n v="97"/>
    <d v="2023-02-16T00:00:00"/>
    <x v="0"/>
    <n v="2"/>
    <n v="9188"/>
  </r>
  <r>
    <x v="158"/>
    <s v="Name735"/>
    <s v="Surname735"/>
    <s v="user735@example.com"/>
    <s v="+17577178795"/>
    <n v="41"/>
    <s v="Other"/>
    <s v="Canada"/>
    <s v="London"/>
    <n v="131015"/>
    <n v="41"/>
    <d v="2023-07-26T00:00:00"/>
    <x v="2"/>
    <n v="6"/>
    <n v="1348"/>
  </r>
  <r>
    <x v="159"/>
    <s v="Name53"/>
    <s v="Surname53"/>
    <s v="user53@example.com"/>
    <s v="+19161713493"/>
    <n v="27"/>
    <s v="Male"/>
    <s v="USA"/>
    <s v="Toronto"/>
    <n v="130700"/>
    <n v="72"/>
    <d v="2023-01-20T00:00:00"/>
    <x v="0"/>
    <n v="2"/>
    <n v="2777"/>
  </r>
  <r>
    <x v="160"/>
    <s v="Name466"/>
    <s v="Surname466"/>
    <s v="user466@example.com"/>
    <s v="+16795692129"/>
    <n v="32"/>
    <s v="Other"/>
    <s v="USA"/>
    <s v="Mumbai"/>
    <n v="130468"/>
    <n v="6"/>
    <d v="2023-02-28T00:00:00"/>
    <x v="2"/>
    <n v="8"/>
    <n v="8076"/>
  </r>
  <r>
    <x v="161"/>
    <s v="Name162"/>
    <s v="Surname162"/>
    <s v="user162@example.com"/>
    <s v="+12149299314"/>
    <n v="47"/>
    <s v="Other"/>
    <s v="Australia"/>
    <s v="Sydney"/>
    <n v="130453"/>
    <n v="85"/>
    <d v="2023-12-01T00:00:00"/>
    <x v="0"/>
    <n v="4"/>
    <n v="2200"/>
  </r>
  <r>
    <x v="162"/>
    <s v="Name257"/>
    <s v="Surname257"/>
    <s v="user257@example.com"/>
    <s v="+15463925715"/>
    <n v="42"/>
    <s v="Other"/>
    <s v="India"/>
    <s v="Sydney"/>
    <n v="130252"/>
    <n v="70"/>
    <d v="2023-03-20T00:00:00"/>
    <x v="2"/>
    <n v="4"/>
    <n v="27"/>
  </r>
  <r>
    <x v="163"/>
    <s v="Name838"/>
    <s v="Surname838"/>
    <s v="user838@example.com"/>
    <s v="+15601769147"/>
    <n v="18"/>
    <s v="Male"/>
    <s v="UK"/>
    <s v="London"/>
    <n v="130051"/>
    <n v="7"/>
    <d v="2023-12-08T00:00:00"/>
    <x v="0"/>
    <n v="6"/>
    <n v="3869"/>
  </r>
  <r>
    <x v="164"/>
    <s v="Name781"/>
    <s v="Surname781"/>
    <s v="user781@example.com"/>
    <s v="+19824828204"/>
    <n v="57"/>
    <s v="Male"/>
    <s v="UK"/>
    <s v="London"/>
    <n v="129826"/>
    <n v="33"/>
    <d v="2023-10-14T00:00:00"/>
    <x v="1"/>
    <n v="10"/>
    <n v="3388"/>
  </r>
  <r>
    <x v="165"/>
    <s v="Name390"/>
    <s v="Surname390"/>
    <s v="user390@example.com"/>
    <s v="+15118309868"/>
    <n v="20"/>
    <s v="Male"/>
    <s v="Australia"/>
    <s v="London"/>
    <n v="129779"/>
    <n v="43"/>
    <d v="2023-03-18T00:00:00"/>
    <x v="2"/>
    <n v="7"/>
    <n v="5507"/>
  </r>
  <r>
    <x v="166"/>
    <s v="Name891"/>
    <s v="Surname891"/>
    <s v="user891@example.com"/>
    <s v="+19745500086"/>
    <n v="35"/>
    <s v="Female"/>
    <s v="India"/>
    <s v="London"/>
    <n v="129686"/>
    <n v="50"/>
    <d v="2023-04-16T00:00:00"/>
    <x v="1"/>
    <n v="8"/>
    <n v="8755"/>
  </r>
  <r>
    <x v="167"/>
    <s v="Name863"/>
    <s v="Surname863"/>
    <s v="user863@example.com"/>
    <s v="+17141154625"/>
    <n v="43"/>
    <s v="Male"/>
    <s v="Australia"/>
    <s v="Toronto"/>
    <n v="129390"/>
    <n v="93"/>
    <d v="2023-08-23T00:00:00"/>
    <x v="1"/>
    <n v="1"/>
    <n v="3548"/>
  </r>
  <r>
    <x v="168"/>
    <s v="Name80"/>
    <s v="Surname80"/>
    <s v="user80@example.com"/>
    <s v="+18326021195"/>
    <n v="70"/>
    <s v="Male"/>
    <s v="USA"/>
    <s v="London"/>
    <n v="129218"/>
    <n v="55"/>
    <d v="2023-12-29T00:00:00"/>
    <x v="1"/>
    <n v="8"/>
    <n v="7952"/>
  </r>
  <r>
    <x v="169"/>
    <s v="Name421"/>
    <s v="Surname421"/>
    <s v="user421@example.com"/>
    <s v="+12054027002"/>
    <n v="56"/>
    <s v="Female"/>
    <s v="India"/>
    <s v="Toronto"/>
    <n v="129178"/>
    <n v="55"/>
    <d v="2023-09-04T00:00:00"/>
    <x v="1"/>
    <n v="10"/>
    <n v="7452"/>
  </r>
  <r>
    <x v="170"/>
    <s v="Name633"/>
    <s v="Surname633"/>
    <s v="user633@example.com"/>
    <s v="+15333758558"/>
    <n v="46"/>
    <s v="Other"/>
    <s v="India"/>
    <s v="Toronto"/>
    <n v="128680"/>
    <n v="83"/>
    <d v="2023-12-17T00:00:00"/>
    <x v="1"/>
    <n v="9"/>
    <n v="5097"/>
  </r>
  <r>
    <x v="171"/>
    <s v="Name736"/>
    <s v="Surname736"/>
    <s v="user736@example.com"/>
    <s v="+15657735774"/>
    <n v="19"/>
    <s v="Female"/>
    <s v="USA"/>
    <s v="London"/>
    <n v="128454"/>
    <n v="81"/>
    <d v="2023-08-29T00:00:00"/>
    <x v="0"/>
    <n v="9"/>
    <n v="575"/>
  </r>
  <r>
    <x v="172"/>
    <s v="Name22"/>
    <s v="Surname22"/>
    <s v="user22@example.com"/>
    <s v="+14100053912"/>
    <n v="32"/>
    <s v="Male"/>
    <s v="Canada"/>
    <s v="New York"/>
    <n v="128394"/>
    <n v="44"/>
    <d v="2023-05-13T00:00:00"/>
    <x v="0"/>
    <n v="10"/>
    <n v="9698"/>
  </r>
  <r>
    <x v="173"/>
    <s v="Name122"/>
    <s v="Surname122"/>
    <s v="user122@example.com"/>
    <s v="+16972481573"/>
    <n v="36"/>
    <s v="Other"/>
    <s v="India"/>
    <s v="London"/>
    <n v="128325"/>
    <n v="0"/>
    <d v="2023-04-18T00:00:00"/>
    <x v="2"/>
    <n v="10"/>
    <n v="7083"/>
  </r>
  <r>
    <x v="174"/>
    <s v="Name712"/>
    <s v="Surname712"/>
    <s v="user712@example.com"/>
    <s v="+16249329522"/>
    <n v="33"/>
    <s v="Male"/>
    <s v="UK"/>
    <s v="Sydney"/>
    <n v="128319"/>
    <n v="85"/>
    <d v="2023-05-20T00:00:00"/>
    <x v="0"/>
    <n v="7"/>
    <n v="4923"/>
  </r>
  <r>
    <x v="175"/>
    <s v="Name189"/>
    <s v="Surname189"/>
    <s v="user189@example.com"/>
    <s v="+17781943586"/>
    <n v="48"/>
    <s v="Other"/>
    <s v="India"/>
    <s v="London"/>
    <n v="128261"/>
    <n v="90"/>
    <d v="2023-02-01T00:00:00"/>
    <x v="1"/>
    <n v="8"/>
    <n v="542"/>
  </r>
  <r>
    <x v="176"/>
    <s v="Name769"/>
    <s v="Surname769"/>
    <s v="user769@example.com"/>
    <s v="+12719345152"/>
    <n v="55"/>
    <s v="Female"/>
    <s v="UK"/>
    <s v="New York"/>
    <n v="127970"/>
    <n v="10"/>
    <d v="2023-11-03T00:00:00"/>
    <x v="0"/>
    <n v="6"/>
    <n v="2598"/>
  </r>
  <r>
    <x v="177"/>
    <s v="Name698"/>
    <s v="Surname698"/>
    <s v="user698@example.com"/>
    <s v="+12902080567"/>
    <n v="38"/>
    <s v="Male"/>
    <s v="USA"/>
    <s v="New York"/>
    <n v="127792"/>
    <n v="36"/>
    <d v="2023-10-08T00:00:00"/>
    <x v="0"/>
    <n v="7"/>
    <n v="1311"/>
  </r>
  <r>
    <x v="178"/>
    <s v="Name924"/>
    <s v="Surname924"/>
    <s v="user924@example.com"/>
    <s v="+16658557669"/>
    <n v="43"/>
    <s v="Female"/>
    <s v="India"/>
    <s v="New York"/>
    <n v="127718"/>
    <n v="38"/>
    <d v="2023-03-30T00:00:00"/>
    <x v="2"/>
    <n v="8"/>
    <n v="5490"/>
  </r>
  <r>
    <x v="179"/>
    <s v="Name114"/>
    <s v="Surname114"/>
    <s v="user114@example.com"/>
    <s v="+16900008046"/>
    <n v="53"/>
    <s v="Female"/>
    <s v="UK"/>
    <s v="Sydney"/>
    <n v="127626"/>
    <n v="77"/>
    <d v="2023-05-28T00:00:00"/>
    <x v="1"/>
    <n v="5"/>
    <n v="5176"/>
  </r>
  <r>
    <x v="180"/>
    <s v="Name143"/>
    <s v="Surname143"/>
    <s v="user143@example.com"/>
    <s v="+14825824146"/>
    <n v="22"/>
    <s v="Other"/>
    <s v="Canada"/>
    <s v="Mumbai"/>
    <n v="127559"/>
    <n v="38"/>
    <d v="2023-02-07T00:00:00"/>
    <x v="2"/>
    <n v="7"/>
    <n v="1709"/>
  </r>
  <r>
    <x v="181"/>
    <s v="Name164"/>
    <s v="Surname164"/>
    <s v="user164@example.com"/>
    <s v="+16405239604"/>
    <n v="56"/>
    <s v="Male"/>
    <s v="UK"/>
    <s v="Mumbai"/>
    <n v="127508"/>
    <n v="55"/>
    <d v="2023-03-04T00:00:00"/>
    <x v="0"/>
    <n v="9"/>
    <n v="5058"/>
  </r>
  <r>
    <x v="182"/>
    <s v="Name25"/>
    <s v="Surname25"/>
    <s v="user25@example.com"/>
    <s v="+15969887881"/>
    <n v="26"/>
    <s v="Male"/>
    <s v="Canada"/>
    <s v="London"/>
    <n v="127495"/>
    <n v="16"/>
    <d v="2023-09-02T00:00:00"/>
    <x v="2"/>
    <n v="4"/>
    <n v="8536"/>
  </r>
  <r>
    <x v="183"/>
    <s v="Name935"/>
    <s v="Surname935"/>
    <s v="user935@example.com"/>
    <s v="+14198395734"/>
    <n v="28"/>
    <s v="Female"/>
    <s v="Canada"/>
    <s v="Mumbai"/>
    <n v="127047"/>
    <n v="59"/>
    <d v="2023-03-17T00:00:00"/>
    <x v="1"/>
    <n v="7"/>
    <n v="7854"/>
  </r>
  <r>
    <x v="184"/>
    <s v="Name591"/>
    <s v="Surname591"/>
    <s v="user591@example.com"/>
    <s v="+14664120701"/>
    <n v="47"/>
    <s v="Male"/>
    <s v="India"/>
    <s v="Sydney"/>
    <n v="126821"/>
    <n v="63"/>
    <d v="2023-10-14T00:00:00"/>
    <x v="0"/>
    <n v="9"/>
    <n v="2908"/>
  </r>
  <r>
    <x v="185"/>
    <s v="Name941"/>
    <s v="Surname941"/>
    <s v="user941@example.com"/>
    <s v="+19817148536"/>
    <n v="50"/>
    <s v="Male"/>
    <s v="UK"/>
    <s v="New York"/>
    <n v="126749"/>
    <n v="16"/>
    <d v="2023-10-04T00:00:00"/>
    <x v="0"/>
    <n v="6"/>
    <n v="3647"/>
  </r>
  <r>
    <x v="186"/>
    <s v="Name440"/>
    <s v="Surname440"/>
    <s v="user440@example.com"/>
    <s v="+13646572167"/>
    <n v="25"/>
    <s v="Female"/>
    <s v="India"/>
    <s v="London"/>
    <n v="126718"/>
    <n v="19"/>
    <d v="2023-10-10T00:00:00"/>
    <x v="0"/>
    <n v="10"/>
    <n v="8115"/>
  </r>
  <r>
    <x v="187"/>
    <s v="Name453"/>
    <s v="Surname453"/>
    <s v="user453@example.com"/>
    <s v="+15518069474"/>
    <n v="49"/>
    <s v="Female"/>
    <s v="Canada"/>
    <s v="London"/>
    <n v="126640"/>
    <n v="1"/>
    <d v="2023-07-03T00:00:00"/>
    <x v="0"/>
    <n v="8"/>
    <n v="618"/>
  </r>
  <r>
    <x v="188"/>
    <s v="Name589"/>
    <s v="Surname589"/>
    <s v="user589@example.com"/>
    <s v="+18448166067"/>
    <n v="42"/>
    <s v="Female"/>
    <s v="UK"/>
    <s v="Mumbai"/>
    <n v="126618"/>
    <n v="18"/>
    <d v="2023-03-31T00:00:00"/>
    <x v="0"/>
    <n v="2"/>
    <n v="3219"/>
  </r>
  <r>
    <x v="189"/>
    <s v="Name885"/>
    <s v="Surname885"/>
    <s v="user885@example.com"/>
    <s v="+13990368932"/>
    <n v="62"/>
    <s v="Male"/>
    <s v="Canada"/>
    <s v="New York"/>
    <n v="126524"/>
    <n v="37"/>
    <d v="2023-10-19T00:00:00"/>
    <x v="2"/>
    <n v="3"/>
    <n v="7784"/>
  </r>
  <r>
    <x v="190"/>
    <s v="Name682"/>
    <s v="Surname682"/>
    <s v="user682@example.com"/>
    <s v="+18264904302"/>
    <n v="20"/>
    <s v="Male"/>
    <s v="India"/>
    <s v="London"/>
    <n v="126370"/>
    <n v="62"/>
    <d v="2023-07-29T00:00:00"/>
    <x v="0"/>
    <n v="5"/>
    <n v="4300"/>
  </r>
  <r>
    <x v="191"/>
    <s v="Name321"/>
    <s v="Surname321"/>
    <s v="user321@example.com"/>
    <s v="+18076393310"/>
    <n v="42"/>
    <s v="Male"/>
    <s v="UK"/>
    <s v="Mumbai"/>
    <n v="126280"/>
    <n v="7"/>
    <d v="2023-03-22T00:00:00"/>
    <x v="0"/>
    <n v="9"/>
    <n v="8848"/>
  </r>
  <r>
    <x v="192"/>
    <s v="Name409"/>
    <s v="Surname409"/>
    <s v="user409@example.com"/>
    <s v="+16857352084"/>
    <n v="56"/>
    <s v="Other"/>
    <s v="UK"/>
    <s v="London"/>
    <n v="126152"/>
    <n v="1"/>
    <d v="2023-02-17T00:00:00"/>
    <x v="0"/>
    <n v="5"/>
    <n v="3796"/>
  </r>
  <r>
    <x v="193"/>
    <s v="Name383"/>
    <s v="Surname383"/>
    <s v="user383@example.com"/>
    <s v="+17178482480"/>
    <n v="65"/>
    <s v="Other"/>
    <s v="India"/>
    <s v="New York"/>
    <n v="126143"/>
    <n v="12"/>
    <d v="2023-08-05T00:00:00"/>
    <x v="1"/>
    <n v="5"/>
    <n v="9490"/>
  </r>
  <r>
    <x v="194"/>
    <s v="Name433"/>
    <s v="Surname433"/>
    <s v="user433@example.com"/>
    <s v="+11405898661"/>
    <n v="56"/>
    <s v="Other"/>
    <s v="UK"/>
    <s v="New York"/>
    <n v="126090"/>
    <n v="97"/>
    <d v="2023-03-12T00:00:00"/>
    <x v="0"/>
    <n v="5"/>
    <n v="4986"/>
  </r>
  <r>
    <x v="195"/>
    <s v="Name974"/>
    <s v="Surname974"/>
    <s v="user974@example.com"/>
    <s v="+18901514450"/>
    <n v="36"/>
    <s v="Other"/>
    <s v="USA"/>
    <s v="Mumbai"/>
    <n v="125981"/>
    <n v="48"/>
    <d v="2023-07-22T00:00:00"/>
    <x v="2"/>
    <n v="8"/>
    <n v="7434"/>
  </r>
  <r>
    <x v="196"/>
    <s v="Name937"/>
    <s v="Surname937"/>
    <s v="user937@example.com"/>
    <s v="+17707944653"/>
    <n v="49"/>
    <s v="Female"/>
    <s v="Canada"/>
    <s v="Mumbai"/>
    <n v="125885"/>
    <n v="6"/>
    <d v="2023-08-17T00:00:00"/>
    <x v="1"/>
    <n v="10"/>
    <n v="2814"/>
  </r>
  <r>
    <x v="197"/>
    <s v="Name556"/>
    <s v="Surname556"/>
    <s v="user556@example.com"/>
    <s v="+16862142696"/>
    <n v="48"/>
    <s v="Male"/>
    <s v="USA"/>
    <s v="Sydney"/>
    <n v="125743"/>
    <n v="15"/>
    <d v="2023-01-15T00:00:00"/>
    <x v="0"/>
    <n v="4"/>
    <n v="1096"/>
  </r>
  <r>
    <x v="198"/>
    <s v="Name420"/>
    <s v="Surname420"/>
    <s v="user420@example.com"/>
    <s v="+18871489183"/>
    <n v="57"/>
    <s v="Male"/>
    <s v="Canada"/>
    <s v="New York"/>
    <n v="125177"/>
    <n v="52"/>
    <d v="2023-05-09T00:00:00"/>
    <x v="0"/>
    <n v="6"/>
    <n v="358"/>
  </r>
  <r>
    <x v="199"/>
    <s v="Name778"/>
    <s v="Surname778"/>
    <s v="user778@example.com"/>
    <s v="+11150020000"/>
    <n v="45"/>
    <s v="Male"/>
    <s v="Canada"/>
    <s v="London"/>
    <n v="125111"/>
    <n v="51"/>
    <d v="2023-07-19T00:00:00"/>
    <x v="2"/>
    <n v="6"/>
    <n v="2405"/>
  </r>
  <r>
    <x v="200"/>
    <s v="Name260"/>
    <s v="Surname260"/>
    <s v="user260@example.com"/>
    <s v="+13319414468"/>
    <n v="21"/>
    <s v="Male"/>
    <s v="Canada"/>
    <s v="New York"/>
    <n v="124999"/>
    <n v="66"/>
    <d v="2023-12-02T00:00:00"/>
    <x v="2"/>
    <n v="10"/>
    <n v="9293"/>
  </r>
  <r>
    <x v="201"/>
    <s v="Name745"/>
    <s v="Surname745"/>
    <s v="user745@example.com"/>
    <s v="+13680996791"/>
    <n v="20"/>
    <s v="Male"/>
    <s v="India"/>
    <s v="Sydney"/>
    <n v="124963"/>
    <n v="83"/>
    <d v="2023-10-24T00:00:00"/>
    <x v="1"/>
    <n v="10"/>
    <n v="3900"/>
  </r>
  <r>
    <x v="202"/>
    <s v="Name959"/>
    <s v="Surname959"/>
    <s v="user959@example.com"/>
    <s v="+14409858641"/>
    <n v="67"/>
    <s v="Female"/>
    <s v="India"/>
    <s v="London"/>
    <n v="124832"/>
    <n v="8"/>
    <d v="2023-02-13T00:00:00"/>
    <x v="2"/>
    <n v="5"/>
    <n v="3818"/>
  </r>
  <r>
    <x v="203"/>
    <s v="Name197"/>
    <s v="Surname197"/>
    <s v="user197@example.com"/>
    <s v="+17884599309"/>
    <n v="30"/>
    <s v="Female"/>
    <s v="USA"/>
    <s v="London"/>
    <n v="124768"/>
    <n v="83"/>
    <d v="2023-03-20T00:00:00"/>
    <x v="0"/>
    <n v="9"/>
    <n v="9724"/>
  </r>
  <r>
    <x v="204"/>
    <s v="Name484"/>
    <s v="Surname484"/>
    <s v="user484@example.com"/>
    <s v="+14221228748"/>
    <n v="65"/>
    <s v="Female"/>
    <s v="India"/>
    <s v="Mumbai"/>
    <n v="124766"/>
    <n v="42"/>
    <d v="2023-08-15T00:00:00"/>
    <x v="0"/>
    <n v="8"/>
    <n v="4736"/>
  </r>
  <r>
    <x v="205"/>
    <s v="Name870"/>
    <s v="Surname870"/>
    <s v="user870@example.com"/>
    <s v="+16902307064"/>
    <n v="35"/>
    <s v="Male"/>
    <s v="UK"/>
    <s v="Sydney"/>
    <n v="124763"/>
    <n v="94"/>
    <d v="2023-04-09T00:00:00"/>
    <x v="0"/>
    <n v="4"/>
    <n v="6616"/>
  </r>
  <r>
    <x v="206"/>
    <s v="Name254"/>
    <s v="Surname254"/>
    <s v="user254@example.com"/>
    <s v="+15113055104"/>
    <n v="46"/>
    <s v="Male"/>
    <s v="Canada"/>
    <s v="Mumbai"/>
    <n v="124692"/>
    <n v="60"/>
    <d v="2023-10-03T00:00:00"/>
    <x v="2"/>
    <n v="5"/>
    <n v="1653"/>
  </r>
  <r>
    <x v="207"/>
    <s v="Name235"/>
    <s v="Surname235"/>
    <s v="user235@example.com"/>
    <s v="+19467999803"/>
    <n v="55"/>
    <s v="Male"/>
    <s v="Canada"/>
    <s v="Toronto"/>
    <n v="124548"/>
    <n v="52"/>
    <d v="2023-10-20T00:00:00"/>
    <x v="2"/>
    <n v="5"/>
    <n v="1199"/>
  </r>
  <r>
    <x v="208"/>
    <s v="Name605"/>
    <s v="Surname605"/>
    <s v="user605@example.com"/>
    <s v="+15468360408"/>
    <n v="69"/>
    <s v="Female"/>
    <s v="India"/>
    <s v="New York"/>
    <n v="124233"/>
    <n v="79"/>
    <d v="2023-04-08T00:00:00"/>
    <x v="2"/>
    <n v="6"/>
    <n v="2335"/>
  </r>
  <r>
    <x v="209"/>
    <s v="Name661"/>
    <s v="Surname661"/>
    <s v="user661@example.com"/>
    <s v="+18511662213"/>
    <n v="28"/>
    <s v="Female"/>
    <s v="USA"/>
    <s v="Mumbai"/>
    <n v="124129"/>
    <n v="80"/>
    <d v="2023-12-17T00:00:00"/>
    <x v="0"/>
    <n v="7"/>
    <n v="1061"/>
  </r>
  <r>
    <x v="210"/>
    <s v="Name708"/>
    <s v="Surname708"/>
    <s v="user708@example.com"/>
    <s v="+13409985190"/>
    <n v="54"/>
    <s v="Male"/>
    <s v="USA"/>
    <s v="Toronto"/>
    <n v="124042"/>
    <n v="30"/>
    <d v="2023-12-06T00:00:00"/>
    <x v="2"/>
    <n v="1"/>
    <n v="8836"/>
  </r>
  <r>
    <x v="211"/>
    <s v="Name683"/>
    <s v="Surname683"/>
    <s v="user683@example.com"/>
    <s v="+11088929971"/>
    <n v="64"/>
    <s v="Female"/>
    <s v="Canada"/>
    <s v="Mumbai"/>
    <n v="123998"/>
    <n v="37"/>
    <d v="2023-07-18T00:00:00"/>
    <x v="1"/>
    <n v="2"/>
    <n v="5881"/>
  </r>
  <r>
    <x v="212"/>
    <s v="Name821"/>
    <s v="Surname821"/>
    <s v="user821@example.com"/>
    <s v="+12655941841"/>
    <n v="54"/>
    <s v="Male"/>
    <s v="UK"/>
    <s v="Mumbai"/>
    <n v="123693"/>
    <n v="21"/>
    <d v="2023-09-25T00:00:00"/>
    <x v="0"/>
    <n v="1"/>
    <n v="309"/>
  </r>
  <r>
    <x v="213"/>
    <s v="Name160"/>
    <s v="Surname160"/>
    <s v="user160@example.com"/>
    <s v="+11385046725"/>
    <n v="46"/>
    <s v="Male"/>
    <s v="USA"/>
    <s v="Sydney"/>
    <n v="123677"/>
    <n v="34"/>
    <d v="2023-07-22T00:00:00"/>
    <x v="1"/>
    <n v="2"/>
    <n v="1298"/>
  </r>
  <r>
    <x v="214"/>
    <s v="Name438"/>
    <s v="Surname438"/>
    <s v="user438@example.com"/>
    <s v="+11527227856"/>
    <n v="51"/>
    <s v="Female"/>
    <s v="USA"/>
    <s v="Sydney"/>
    <n v="123672"/>
    <n v="81"/>
    <d v="2023-09-04T00:00:00"/>
    <x v="1"/>
    <n v="5"/>
    <n v="6681"/>
  </r>
  <r>
    <x v="215"/>
    <s v="Name548"/>
    <s v="Surname548"/>
    <s v="user548@example.com"/>
    <s v="+18272703101"/>
    <n v="29"/>
    <s v="Other"/>
    <s v="USA"/>
    <s v="New York"/>
    <n v="123395"/>
    <n v="37"/>
    <d v="2023-11-07T00:00:00"/>
    <x v="1"/>
    <n v="1"/>
    <n v="6648"/>
  </r>
  <r>
    <x v="216"/>
    <s v="Name285"/>
    <s v="Surname285"/>
    <s v="user285@example.com"/>
    <s v="+11974922009"/>
    <n v="44"/>
    <s v="Male"/>
    <s v="Australia"/>
    <s v="London"/>
    <n v="123172"/>
    <n v="82"/>
    <d v="2023-11-25T00:00:00"/>
    <x v="2"/>
    <n v="1"/>
    <n v="4045"/>
  </r>
  <r>
    <x v="217"/>
    <s v="Name792"/>
    <s v="Surname792"/>
    <s v="user792@example.com"/>
    <s v="+16368844774"/>
    <n v="42"/>
    <s v="Other"/>
    <s v="Canada"/>
    <s v="London"/>
    <n v="123079"/>
    <n v="44"/>
    <d v="2023-07-20T00:00:00"/>
    <x v="0"/>
    <n v="8"/>
    <n v="2206"/>
  </r>
  <r>
    <x v="218"/>
    <s v="Name240"/>
    <s v="Surname240"/>
    <s v="user240@example.com"/>
    <s v="+11774130231"/>
    <n v="60"/>
    <s v="Other"/>
    <s v="UK"/>
    <s v="New York"/>
    <n v="123036"/>
    <n v="99"/>
    <d v="2023-06-06T00:00:00"/>
    <x v="2"/>
    <n v="9"/>
    <n v="5439"/>
  </r>
  <r>
    <x v="219"/>
    <s v="Name524"/>
    <s v="Surname524"/>
    <s v="user524@example.com"/>
    <s v="+17907774745"/>
    <n v="38"/>
    <s v="Female"/>
    <s v="India"/>
    <s v="New York"/>
    <n v="122810"/>
    <n v="90"/>
    <d v="2023-07-14T00:00:00"/>
    <x v="1"/>
    <n v="8"/>
    <n v="7874"/>
  </r>
  <r>
    <x v="220"/>
    <s v="Name811"/>
    <s v="Surname811"/>
    <s v="user811@example.com"/>
    <s v="+15340715829"/>
    <n v="18"/>
    <s v="Female"/>
    <s v="India"/>
    <s v="Mumbai"/>
    <n v="122735"/>
    <n v="63"/>
    <d v="2023-05-13T00:00:00"/>
    <x v="0"/>
    <n v="6"/>
    <n v="7008"/>
  </r>
  <r>
    <x v="221"/>
    <s v="Name710"/>
    <s v="Surname710"/>
    <s v="user710@example.com"/>
    <s v="+14220925213"/>
    <n v="18"/>
    <s v="Other"/>
    <s v="Canada"/>
    <s v="Toronto"/>
    <n v="122601"/>
    <n v="26"/>
    <d v="2023-09-28T00:00:00"/>
    <x v="0"/>
    <n v="5"/>
    <n v="1324"/>
  </r>
  <r>
    <x v="222"/>
    <s v="Name142"/>
    <s v="Surname142"/>
    <s v="user142@example.com"/>
    <s v="+11281781865"/>
    <n v="28"/>
    <s v="Female"/>
    <s v="Canada"/>
    <s v="Toronto"/>
    <n v="122556"/>
    <n v="24"/>
    <d v="2023-02-18T00:00:00"/>
    <x v="0"/>
    <n v="9"/>
    <n v="8483"/>
  </r>
  <r>
    <x v="223"/>
    <s v="Name993"/>
    <s v="Surname993"/>
    <s v="user993@example.com"/>
    <s v="+14725872994"/>
    <n v="47"/>
    <s v="Female"/>
    <s v="Canada"/>
    <s v="Sydney"/>
    <n v="122531"/>
    <n v="16"/>
    <d v="2023-03-22T00:00:00"/>
    <x v="0"/>
    <n v="4"/>
    <n v="8288"/>
  </r>
  <r>
    <x v="224"/>
    <s v="Name30"/>
    <s v="Surname30"/>
    <s v="user30@example.com"/>
    <s v="+19823446484"/>
    <n v="57"/>
    <s v="Female"/>
    <s v="USA"/>
    <s v="London"/>
    <n v="122407"/>
    <n v="39"/>
    <d v="2023-01-29T00:00:00"/>
    <x v="1"/>
    <n v="3"/>
    <n v="245"/>
  </r>
  <r>
    <x v="225"/>
    <s v="Name536"/>
    <s v="Surname536"/>
    <s v="user536@example.com"/>
    <s v="+19551606444"/>
    <n v="51"/>
    <s v="Other"/>
    <s v="Canada"/>
    <s v="Toronto"/>
    <n v="122346"/>
    <n v="27"/>
    <d v="2023-05-07T00:00:00"/>
    <x v="1"/>
    <n v="2"/>
    <n v="5793"/>
  </r>
  <r>
    <x v="226"/>
    <s v="Name303"/>
    <s v="Surname303"/>
    <s v="user303@example.com"/>
    <s v="+11041212537"/>
    <n v="69"/>
    <s v="Male"/>
    <s v="USA"/>
    <s v="New York"/>
    <n v="122299"/>
    <n v="24"/>
    <d v="2023-09-17T00:00:00"/>
    <x v="2"/>
    <n v="4"/>
    <n v="8937"/>
  </r>
  <r>
    <x v="227"/>
    <s v="Name978"/>
    <s v="Surname978"/>
    <s v="user978@example.com"/>
    <s v="+16131253366"/>
    <n v="27"/>
    <s v="Female"/>
    <s v="India"/>
    <s v="New York"/>
    <n v="122236"/>
    <n v="48"/>
    <d v="2023-12-11T00:00:00"/>
    <x v="1"/>
    <n v="9"/>
    <n v="6181"/>
  </r>
  <r>
    <x v="228"/>
    <s v="Name368"/>
    <s v="Surname368"/>
    <s v="user368@example.com"/>
    <s v="+11064940990"/>
    <n v="65"/>
    <s v="Other"/>
    <s v="USA"/>
    <s v="Mumbai"/>
    <n v="122235"/>
    <n v="49"/>
    <d v="2023-03-21T00:00:00"/>
    <x v="2"/>
    <n v="5"/>
    <n v="4408"/>
  </r>
  <r>
    <x v="229"/>
    <s v="Name773"/>
    <s v="Surname773"/>
    <s v="user773@example.com"/>
    <s v="+13322459214"/>
    <n v="28"/>
    <s v="Male"/>
    <s v="Australia"/>
    <s v="Toronto"/>
    <n v="122200"/>
    <n v="23"/>
    <d v="2023-09-22T00:00:00"/>
    <x v="0"/>
    <n v="6"/>
    <n v="1694"/>
  </r>
  <r>
    <x v="230"/>
    <s v="Name473"/>
    <s v="Surname473"/>
    <s v="user473@example.com"/>
    <s v="+12871955970"/>
    <n v="69"/>
    <s v="Other"/>
    <s v="India"/>
    <s v="New York"/>
    <n v="122002"/>
    <n v="61"/>
    <d v="2023-12-14T00:00:00"/>
    <x v="2"/>
    <n v="10"/>
    <n v="3961"/>
  </r>
  <r>
    <x v="231"/>
    <s v="Name336"/>
    <s v="Surname336"/>
    <s v="user336@example.com"/>
    <s v="+13977861957"/>
    <n v="40"/>
    <s v="Female"/>
    <s v="UK"/>
    <s v="Sydney"/>
    <n v="121941"/>
    <n v="68"/>
    <d v="2023-03-11T00:00:00"/>
    <x v="2"/>
    <n v="3"/>
    <n v="7191"/>
  </r>
  <r>
    <x v="232"/>
    <s v="Name37"/>
    <s v="Surname37"/>
    <s v="user37@example.com"/>
    <s v="+11897865493"/>
    <n v="57"/>
    <s v="Other"/>
    <s v="Canada"/>
    <s v="Toronto"/>
    <n v="121809"/>
    <n v="16"/>
    <d v="2023-02-07T00:00:00"/>
    <x v="2"/>
    <n v="6"/>
    <n v="7400"/>
  </r>
  <r>
    <x v="233"/>
    <s v="Name543"/>
    <s v="Surname543"/>
    <s v="user543@example.com"/>
    <s v="+11718687507"/>
    <n v="28"/>
    <s v="Male"/>
    <s v="India"/>
    <s v="Mumbai"/>
    <n v="121733"/>
    <n v="23"/>
    <d v="2023-11-29T00:00:00"/>
    <x v="1"/>
    <n v="2"/>
    <n v="1426"/>
  </r>
  <r>
    <x v="234"/>
    <s v="Name209"/>
    <s v="Surname209"/>
    <s v="user209@example.com"/>
    <s v="+17659036801"/>
    <n v="70"/>
    <s v="Male"/>
    <s v="USA"/>
    <s v="New York"/>
    <n v="121701"/>
    <n v="14"/>
    <d v="2023-01-02T00:00:00"/>
    <x v="1"/>
    <n v="3"/>
    <n v="1205"/>
  </r>
  <r>
    <x v="235"/>
    <s v="Name388"/>
    <s v="Surname388"/>
    <s v="user388@example.com"/>
    <s v="+14732011083"/>
    <n v="59"/>
    <s v="Other"/>
    <s v="Australia"/>
    <s v="Sydney"/>
    <n v="121553"/>
    <n v="67"/>
    <d v="2023-04-05T00:00:00"/>
    <x v="2"/>
    <n v="5"/>
    <n v="1699"/>
  </r>
  <r>
    <x v="236"/>
    <s v="Name62"/>
    <s v="Surname62"/>
    <s v="user62@example.com"/>
    <s v="+19262158260"/>
    <n v="61"/>
    <s v="Female"/>
    <s v="Canada"/>
    <s v="Sydney"/>
    <n v="121256"/>
    <n v="82"/>
    <d v="2023-02-17T00:00:00"/>
    <x v="0"/>
    <n v="8"/>
    <n v="1665"/>
  </r>
  <r>
    <x v="237"/>
    <s v="Name371"/>
    <s v="Surname371"/>
    <s v="user371@example.com"/>
    <s v="+18362639369"/>
    <n v="66"/>
    <s v="Female"/>
    <s v="India"/>
    <s v="Sydney"/>
    <n v="121217"/>
    <n v="78"/>
    <d v="2023-06-24T00:00:00"/>
    <x v="0"/>
    <n v="4"/>
    <n v="2257"/>
  </r>
  <r>
    <x v="238"/>
    <s v="Name226"/>
    <s v="Surname226"/>
    <s v="user226@example.com"/>
    <s v="+12157782573"/>
    <n v="62"/>
    <s v="Male"/>
    <s v="India"/>
    <s v="Toronto"/>
    <n v="121211"/>
    <n v="13"/>
    <d v="2023-11-12T00:00:00"/>
    <x v="0"/>
    <n v="6"/>
    <n v="3992"/>
  </r>
  <r>
    <x v="239"/>
    <s v="Name564"/>
    <s v="Surname564"/>
    <s v="user564@example.com"/>
    <s v="+18663515877"/>
    <n v="67"/>
    <s v="Female"/>
    <s v="Australia"/>
    <s v="London"/>
    <n v="121194"/>
    <n v="64"/>
    <d v="2023-04-11T00:00:00"/>
    <x v="0"/>
    <n v="9"/>
    <n v="4064"/>
  </r>
  <r>
    <x v="240"/>
    <s v="Name19"/>
    <s v="Surname19"/>
    <s v="user19@example.com"/>
    <s v="+14156806882"/>
    <n v="62"/>
    <s v="Other"/>
    <s v="USA"/>
    <s v="New York"/>
    <n v="120646"/>
    <n v="50"/>
    <d v="2023-10-18T00:00:00"/>
    <x v="2"/>
    <n v="8"/>
    <n v="2753"/>
  </r>
  <r>
    <x v="241"/>
    <s v="Name71"/>
    <s v="Surname71"/>
    <s v="user71@example.com"/>
    <s v="+19580594798"/>
    <n v="26"/>
    <s v="Male"/>
    <s v="UK"/>
    <s v="London"/>
    <n v="120582"/>
    <n v="28"/>
    <d v="2023-06-22T00:00:00"/>
    <x v="2"/>
    <n v="7"/>
    <n v="6377"/>
  </r>
  <r>
    <x v="242"/>
    <s v="Name280"/>
    <s v="Surname280"/>
    <s v="user280@example.com"/>
    <s v="+15954218040"/>
    <n v="53"/>
    <s v="Male"/>
    <s v="Australia"/>
    <s v="Toronto"/>
    <n v="120477"/>
    <n v="5"/>
    <d v="2023-11-23T00:00:00"/>
    <x v="0"/>
    <n v="1"/>
    <n v="3834"/>
  </r>
  <r>
    <x v="243"/>
    <s v="Name910"/>
    <s v="Surname910"/>
    <s v="user910@example.com"/>
    <s v="+19521858263"/>
    <n v="18"/>
    <s v="Male"/>
    <s v="Canada"/>
    <s v="Mumbai"/>
    <n v="120412"/>
    <n v="15"/>
    <d v="2023-08-16T00:00:00"/>
    <x v="0"/>
    <n v="3"/>
    <n v="8253"/>
  </r>
  <r>
    <x v="244"/>
    <s v="Name486"/>
    <s v="Surname486"/>
    <s v="user486@example.com"/>
    <s v="+15241063928"/>
    <n v="47"/>
    <s v="Male"/>
    <s v="Canada"/>
    <s v="Toronto"/>
    <n v="120363"/>
    <n v="50"/>
    <d v="2023-12-27T00:00:00"/>
    <x v="1"/>
    <n v="7"/>
    <n v="2617"/>
  </r>
  <r>
    <x v="245"/>
    <s v="Name480"/>
    <s v="Surname480"/>
    <s v="user480@example.com"/>
    <s v="+16684880981"/>
    <n v="59"/>
    <s v="Male"/>
    <s v="Canada"/>
    <s v="Mumbai"/>
    <n v="120262"/>
    <n v="34"/>
    <d v="2023-05-23T00:00:00"/>
    <x v="1"/>
    <n v="2"/>
    <n v="3733"/>
  </r>
  <r>
    <x v="246"/>
    <s v="Name211"/>
    <s v="Surname211"/>
    <s v="user211@example.com"/>
    <s v="+19213851240"/>
    <n v="36"/>
    <s v="Other"/>
    <s v="India"/>
    <s v="London"/>
    <n v="120014"/>
    <n v="39"/>
    <d v="2023-06-30T00:00:00"/>
    <x v="1"/>
    <n v="5"/>
    <n v="5747"/>
  </r>
  <r>
    <x v="247"/>
    <s v="Name1"/>
    <s v="Surname1"/>
    <s v="user1@example.com"/>
    <s v="+19119527650"/>
    <n v="38"/>
    <s v="Other"/>
    <s v="Canada"/>
    <s v="London"/>
    <n v="119916"/>
    <n v="8"/>
    <d v="2023-11-02T00:00:00"/>
    <x v="2"/>
    <n v="9"/>
    <n v="3727"/>
  </r>
  <r>
    <x v="248"/>
    <s v="Name314"/>
    <s v="Surname314"/>
    <s v="user314@example.com"/>
    <s v="+14873899056"/>
    <n v="32"/>
    <s v="Other"/>
    <s v="Australia"/>
    <s v="Mumbai"/>
    <n v="119626"/>
    <n v="15"/>
    <d v="2023-08-16T00:00:00"/>
    <x v="0"/>
    <n v="2"/>
    <n v="9064"/>
  </r>
  <r>
    <x v="249"/>
    <s v="Name200"/>
    <s v="Surname200"/>
    <s v="user200@example.com"/>
    <s v="+16833565103"/>
    <n v="33"/>
    <s v="Other"/>
    <s v="USA"/>
    <s v="Toronto"/>
    <n v="119555"/>
    <n v="13"/>
    <d v="2023-12-06T00:00:00"/>
    <x v="1"/>
    <n v="2"/>
    <n v="1615"/>
  </r>
  <r>
    <x v="250"/>
    <s v="Name34"/>
    <s v="Surname34"/>
    <s v="user34@example.com"/>
    <s v="+13616704906"/>
    <n v="43"/>
    <s v="Male"/>
    <s v="UK"/>
    <s v="Mumbai"/>
    <n v="119434"/>
    <n v="99"/>
    <d v="2023-09-23T00:00:00"/>
    <x v="0"/>
    <n v="2"/>
    <n v="2757"/>
  </r>
  <r>
    <x v="251"/>
    <s v="Name428"/>
    <s v="Surname428"/>
    <s v="user428@example.com"/>
    <s v="+13395964564"/>
    <n v="32"/>
    <s v="Other"/>
    <s v="USA"/>
    <s v="New York"/>
    <n v="119155"/>
    <n v="42"/>
    <d v="2023-06-19T00:00:00"/>
    <x v="1"/>
    <n v="8"/>
    <n v="6495"/>
  </r>
  <r>
    <x v="252"/>
    <s v="Name39"/>
    <s v="Surname39"/>
    <s v="user39@example.com"/>
    <s v="+15206720004"/>
    <n v="62"/>
    <s v="Male"/>
    <s v="India"/>
    <s v="Toronto"/>
    <n v="119108"/>
    <n v="94"/>
    <d v="2023-07-08T00:00:00"/>
    <x v="0"/>
    <n v="9"/>
    <n v="6609"/>
  </r>
  <r>
    <x v="253"/>
    <s v="Name604"/>
    <s v="Surname604"/>
    <s v="user604@example.com"/>
    <s v="+11598602624"/>
    <n v="52"/>
    <s v="Other"/>
    <s v="UK"/>
    <s v="Mumbai"/>
    <n v="118391"/>
    <n v="100"/>
    <d v="2024-01-01T00:00:00"/>
    <x v="0"/>
    <n v="4"/>
    <n v="1561"/>
  </r>
  <r>
    <x v="254"/>
    <s v="Name762"/>
    <s v="Surname762"/>
    <s v="user762@example.com"/>
    <s v="+13295132131"/>
    <n v="21"/>
    <s v="Other"/>
    <s v="India"/>
    <s v="Sydney"/>
    <n v="118390"/>
    <n v="79"/>
    <d v="2023-06-22T00:00:00"/>
    <x v="2"/>
    <n v="3"/>
    <n v="5911"/>
  </r>
  <r>
    <x v="255"/>
    <s v="Name920"/>
    <s v="Surname920"/>
    <s v="user920@example.com"/>
    <s v="+19063484710"/>
    <n v="18"/>
    <s v="Female"/>
    <s v="Australia"/>
    <s v="Sydney"/>
    <n v="118364"/>
    <n v="11"/>
    <d v="2023-05-31T00:00:00"/>
    <x v="1"/>
    <n v="4"/>
    <n v="9042"/>
  </r>
  <r>
    <x v="256"/>
    <s v="Name535"/>
    <s v="Surname535"/>
    <s v="user535@example.com"/>
    <s v="+14755555056"/>
    <n v="36"/>
    <s v="Other"/>
    <s v="USA"/>
    <s v="London"/>
    <n v="118235"/>
    <n v="82"/>
    <d v="2023-02-15T00:00:00"/>
    <x v="0"/>
    <n v="9"/>
    <n v="9778"/>
  </r>
  <r>
    <x v="257"/>
    <s v="Name979"/>
    <s v="Surname979"/>
    <s v="user979@example.com"/>
    <s v="+12637749605"/>
    <n v="69"/>
    <s v="Female"/>
    <s v="UK"/>
    <s v="New York"/>
    <n v="118213"/>
    <n v="70"/>
    <d v="2023-05-17T00:00:00"/>
    <x v="2"/>
    <n v="7"/>
    <n v="9282"/>
  </r>
  <r>
    <x v="258"/>
    <s v="Name702"/>
    <s v="Surname702"/>
    <s v="user702@example.com"/>
    <s v="+11731506396"/>
    <n v="34"/>
    <s v="Other"/>
    <s v="UK"/>
    <s v="Toronto"/>
    <n v="118112"/>
    <n v="38"/>
    <d v="2023-03-01T00:00:00"/>
    <x v="0"/>
    <n v="9"/>
    <n v="2345"/>
  </r>
  <r>
    <x v="259"/>
    <s v="Name949"/>
    <s v="Surname949"/>
    <s v="user949@example.com"/>
    <s v="+16537913892"/>
    <n v="35"/>
    <s v="Female"/>
    <s v="USA"/>
    <s v="London"/>
    <n v="117846"/>
    <n v="11"/>
    <d v="2023-07-26T00:00:00"/>
    <x v="1"/>
    <n v="8"/>
    <n v="9787"/>
  </r>
  <r>
    <x v="260"/>
    <s v="Name217"/>
    <s v="Surname217"/>
    <s v="user217@example.com"/>
    <s v="+17273606082"/>
    <n v="68"/>
    <s v="Female"/>
    <s v="Australia"/>
    <s v="Toronto"/>
    <n v="117754"/>
    <n v="86"/>
    <d v="2023-02-08T00:00:00"/>
    <x v="1"/>
    <n v="10"/>
    <n v="2128"/>
  </r>
  <r>
    <x v="261"/>
    <s v="Name297"/>
    <s v="Surname297"/>
    <s v="user297@example.com"/>
    <s v="+19947568192"/>
    <n v="32"/>
    <s v="Male"/>
    <s v="Canada"/>
    <s v="New York"/>
    <n v="117577"/>
    <n v="58"/>
    <d v="2023-06-25T00:00:00"/>
    <x v="2"/>
    <n v="4"/>
    <n v="5160"/>
  </r>
  <r>
    <x v="262"/>
    <s v="Name295"/>
    <s v="Surname295"/>
    <s v="user295@example.com"/>
    <s v="+16992089919"/>
    <n v="63"/>
    <s v="Female"/>
    <s v="Canada"/>
    <s v="Sydney"/>
    <n v="117564"/>
    <n v="79"/>
    <d v="2023-08-28T00:00:00"/>
    <x v="1"/>
    <n v="8"/>
    <n v="7492"/>
  </r>
  <r>
    <x v="263"/>
    <s v="Name461"/>
    <s v="Surname461"/>
    <s v="user461@example.com"/>
    <s v="+11352878467"/>
    <n v="54"/>
    <s v="Female"/>
    <s v="USA"/>
    <s v="London"/>
    <n v="117559"/>
    <n v="51"/>
    <d v="2023-03-20T00:00:00"/>
    <x v="0"/>
    <n v="9"/>
    <n v="1229"/>
  </r>
  <r>
    <x v="264"/>
    <s v="Name417"/>
    <s v="Surname417"/>
    <s v="user417@example.com"/>
    <s v="+18110719084"/>
    <n v="50"/>
    <s v="Male"/>
    <s v="Canada"/>
    <s v="Sydney"/>
    <n v="117555"/>
    <n v="62"/>
    <d v="2023-02-12T00:00:00"/>
    <x v="0"/>
    <n v="8"/>
    <n v="7432"/>
  </r>
  <r>
    <x v="265"/>
    <s v="Name199"/>
    <s v="Surname199"/>
    <s v="user199@example.com"/>
    <s v="+17687332828"/>
    <n v="64"/>
    <s v="Female"/>
    <s v="Canada"/>
    <s v="Sydney"/>
    <n v="116901"/>
    <n v="89"/>
    <d v="2023-09-13T00:00:00"/>
    <x v="2"/>
    <n v="1"/>
    <n v="7638"/>
  </r>
  <r>
    <x v="266"/>
    <s v="Name309"/>
    <s v="Surname309"/>
    <s v="user309@example.com"/>
    <s v="+12537475178"/>
    <n v="46"/>
    <s v="Male"/>
    <s v="Australia"/>
    <s v="Sydney"/>
    <n v="116885"/>
    <n v="52"/>
    <d v="2023-12-24T00:00:00"/>
    <x v="1"/>
    <n v="10"/>
    <n v="9460"/>
  </r>
  <r>
    <x v="267"/>
    <s v="Name185"/>
    <s v="Surname185"/>
    <s v="user185@example.com"/>
    <s v="+18368500837"/>
    <n v="28"/>
    <s v="Female"/>
    <s v="Australia"/>
    <s v="Toronto"/>
    <n v="116827"/>
    <n v="4"/>
    <d v="2023-04-30T00:00:00"/>
    <x v="1"/>
    <n v="4"/>
    <n v="705"/>
  </r>
  <r>
    <x v="268"/>
    <s v="Name229"/>
    <s v="Surname229"/>
    <s v="user229@example.com"/>
    <s v="+17415484095"/>
    <n v="69"/>
    <s v="Other"/>
    <s v="Australia"/>
    <s v="Mumbai"/>
    <n v="116782"/>
    <n v="28"/>
    <d v="2023-09-27T00:00:00"/>
    <x v="0"/>
    <n v="6"/>
    <n v="6387"/>
  </r>
  <r>
    <x v="269"/>
    <s v="Name429"/>
    <s v="Surname429"/>
    <s v="user429@example.com"/>
    <s v="+15063820576"/>
    <n v="21"/>
    <s v="Male"/>
    <s v="India"/>
    <s v="New York"/>
    <n v="116676"/>
    <n v="74"/>
    <d v="2023-10-21T00:00:00"/>
    <x v="1"/>
    <n v="8"/>
    <n v="9142"/>
  </r>
  <r>
    <x v="270"/>
    <s v="Name889"/>
    <s v="Surname889"/>
    <s v="user889@example.com"/>
    <s v="+19932222885"/>
    <n v="66"/>
    <s v="Male"/>
    <s v="Australia"/>
    <s v="Mumbai"/>
    <n v="116647"/>
    <n v="4"/>
    <d v="2023-06-06T00:00:00"/>
    <x v="1"/>
    <n v="3"/>
    <n v="9150"/>
  </r>
  <r>
    <x v="271"/>
    <s v="Name718"/>
    <s v="Surname718"/>
    <s v="user718@example.com"/>
    <s v="+17414380971"/>
    <n v="49"/>
    <s v="Other"/>
    <s v="Canada"/>
    <s v="New York"/>
    <n v="116485"/>
    <n v="14"/>
    <d v="2023-08-11T00:00:00"/>
    <x v="2"/>
    <n v="2"/>
    <n v="6103"/>
  </r>
  <r>
    <x v="272"/>
    <s v="Name294"/>
    <s v="Surname294"/>
    <s v="user294@example.com"/>
    <s v="+19331795645"/>
    <n v="19"/>
    <s v="Female"/>
    <s v="India"/>
    <s v="Toronto"/>
    <n v="116173"/>
    <n v="7"/>
    <d v="2023-01-26T00:00:00"/>
    <x v="2"/>
    <n v="9"/>
    <n v="1421"/>
  </r>
  <r>
    <x v="273"/>
    <s v="Name534"/>
    <s v="Surname534"/>
    <s v="user534@example.com"/>
    <s v="+17253658644"/>
    <n v="33"/>
    <s v="Male"/>
    <s v="Canada"/>
    <s v="Mumbai"/>
    <n v="116106"/>
    <n v="33"/>
    <d v="2023-12-15T00:00:00"/>
    <x v="0"/>
    <n v="8"/>
    <n v="5213"/>
  </r>
  <r>
    <x v="274"/>
    <s v="Name328"/>
    <s v="Surname328"/>
    <s v="user328@example.com"/>
    <s v="+12831709015"/>
    <n v="22"/>
    <s v="Male"/>
    <s v="Australia"/>
    <s v="Sydney"/>
    <n v="116076"/>
    <n v="85"/>
    <d v="2023-11-27T00:00:00"/>
    <x v="0"/>
    <n v="9"/>
    <n v="3239"/>
  </r>
  <r>
    <x v="275"/>
    <s v="Name969"/>
    <s v="Surname969"/>
    <s v="user969@example.com"/>
    <s v="+19140412298"/>
    <n v="20"/>
    <s v="Female"/>
    <s v="India"/>
    <s v="Mumbai"/>
    <n v="115924"/>
    <n v="34"/>
    <d v="2023-09-02T00:00:00"/>
    <x v="0"/>
    <n v="1"/>
    <n v="8544"/>
  </r>
  <r>
    <x v="276"/>
    <s v="Name590"/>
    <s v="Surname590"/>
    <s v="user590@example.com"/>
    <s v="+13666706756"/>
    <n v="56"/>
    <s v="Female"/>
    <s v="India"/>
    <s v="Toronto"/>
    <n v="115821"/>
    <n v="53"/>
    <d v="2023-05-19T00:00:00"/>
    <x v="2"/>
    <n v="1"/>
    <n v="6612"/>
  </r>
  <r>
    <x v="277"/>
    <s v="Name396"/>
    <s v="Surname396"/>
    <s v="user396@example.com"/>
    <s v="+11074681126"/>
    <n v="27"/>
    <s v="Male"/>
    <s v="Canada"/>
    <s v="Sydney"/>
    <n v="115605"/>
    <n v="79"/>
    <d v="2023-04-24T00:00:00"/>
    <x v="0"/>
    <n v="3"/>
    <n v="5330"/>
  </r>
  <r>
    <x v="278"/>
    <s v="Name776"/>
    <s v="Surname776"/>
    <s v="user776@example.com"/>
    <s v="+11839478106"/>
    <n v="19"/>
    <s v="Female"/>
    <s v="India"/>
    <s v="New York"/>
    <n v="115601"/>
    <n v="14"/>
    <d v="2023-02-09T00:00:00"/>
    <x v="1"/>
    <n v="6"/>
    <n v="5548"/>
  </r>
  <r>
    <x v="279"/>
    <s v="Name358"/>
    <s v="Surname358"/>
    <s v="user358@example.com"/>
    <s v="+16230687386"/>
    <n v="21"/>
    <s v="Other"/>
    <s v="Australia"/>
    <s v="Mumbai"/>
    <n v="115464"/>
    <n v="26"/>
    <d v="2023-03-13T00:00:00"/>
    <x v="1"/>
    <n v="7"/>
    <n v="373"/>
  </r>
  <r>
    <x v="280"/>
    <s v="Name697"/>
    <s v="Surname697"/>
    <s v="user697@example.com"/>
    <s v="+15798599620"/>
    <n v="67"/>
    <s v="Male"/>
    <s v="USA"/>
    <s v="Mumbai"/>
    <n v="115457"/>
    <n v="5"/>
    <d v="2023-11-10T00:00:00"/>
    <x v="1"/>
    <n v="5"/>
    <n v="7027"/>
  </r>
  <r>
    <x v="281"/>
    <s v="Name755"/>
    <s v="Surname755"/>
    <s v="user755@example.com"/>
    <s v="+15711721242"/>
    <n v="61"/>
    <s v="Male"/>
    <s v="Canada"/>
    <s v="Toronto"/>
    <n v="115443"/>
    <n v="23"/>
    <d v="2023-02-25T00:00:00"/>
    <x v="2"/>
    <n v="2"/>
    <n v="5594"/>
  </r>
  <r>
    <x v="282"/>
    <s v="Name48"/>
    <s v="Surname48"/>
    <s v="user48@example.com"/>
    <s v="+14805467570"/>
    <n v="43"/>
    <s v="Female"/>
    <s v="Australia"/>
    <s v="Mumbai"/>
    <n v="115016"/>
    <n v="17"/>
    <d v="2023-01-21T00:00:00"/>
    <x v="0"/>
    <n v="5"/>
    <n v="8607"/>
  </r>
  <r>
    <x v="283"/>
    <s v="Name92"/>
    <s v="Surname92"/>
    <s v="user92@example.com"/>
    <s v="+11144134140"/>
    <n v="34"/>
    <s v="Other"/>
    <s v="Australia"/>
    <s v="Mumbai"/>
    <n v="114997"/>
    <n v="13"/>
    <d v="2023-12-11T00:00:00"/>
    <x v="1"/>
    <n v="3"/>
    <n v="810"/>
  </r>
  <r>
    <x v="284"/>
    <s v="Name701"/>
    <s v="Surname701"/>
    <s v="user701@example.com"/>
    <s v="+18243486533"/>
    <n v="41"/>
    <s v="Male"/>
    <s v="Canada"/>
    <s v="Toronto"/>
    <n v="114899"/>
    <n v="18"/>
    <d v="2023-12-08T00:00:00"/>
    <x v="0"/>
    <n v="4"/>
    <n v="9445"/>
  </r>
  <r>
    <x v="285"/>
    <s v="Name747"/>
    <s v="Surname747"/>
    <s v="user747@example.com"/>
    <s v="+11451897563"/>
    <n v="49"/>
    <s v="Male"/>
    <s v="Canada"/>
    <s v="Toronto"/>
    <n v="114850"/>
    <n v="73"/>
    <d v="2023-08-10T00:00:00"/>
    <x v="0"/>
    <n v="8"/>
    <n v="6403"/>
  </r>
  <r>
    <x v="286"/>
    <s v="Name679"/>
    <s v="Surname679"/>
    <s v="user679@example.com"/>
    <s v="+17066424535"/>
    <n v="55"/>
    <s v="Male"/>
    <s v="Australia"/>
    <s v="Mumbai"/>
    <n v="114584"/>
    <n v="84"/>
    <d v="2023-05-02T00:00:00"/>
    <x v="0"/>
    <n v="4"/>
    <n v="7545"/>
  </r>
  <r>
    <x v="287"/>
    <s v="Name670"/>
    <s v="Surname670"/>
    <s v="user670@example.com"/>
    <s v="+15838904590"/>
    <n v="52"/>
    <s v="Male"/>
    <s v="UK"/>
    <s v="Mumbai"/>
    <n v="114452"/>
    <n v="98"/>
    <d v="2023-08-26T00:00:00"/>
    <x v="1"/>
    <n v="8"/>
    <n v="8049"/>
  </r>
  <r>
    <x v="288"/>
    <s v="Name853"/>
    <s v="Surname853"/>
    <s v="user853@example.com"/>
    <s v="+19892830928"/>
    <n v="34"/>
    <s v="Male"/>
    <s v="India"/>
    <s v="Mumbai"/>
    <n v="114217"/>
    <n v="82"/>
    <d v="2023-04-01T00:00:00"/>
    <x v="1"/>
    <n v="9"/>
    <n v="3697"/>
  </r>
  <r>
    <x v="289"/>
    <s v="Name638"/>
    <s v="Surname638"/>
    <s v="user638@example.com"/>
    <s v="+15029263283"/>
    <n v="50"/>
    <s v="Female"/>
    <s v="India"/>
    <s v="New York"/>
    <n v="114062"/>
    <n v="75"/>
    <d v="2023-01-20T00:00:00"/>
    <x v="2"/>
    <n v="8"/>
    <n v="7423"/>
  </r>
  <r>
    <x v="290"/>
    <s v="Name264"/>
    <s v="Surname264"/>
    <s v="user264@example.com"/>
    <s v="+19696085307"/>
    <n v="65"/>
    <s v="Male"/>
    <s v="Australia"/>
    <s v="New York"/>
    <n v="113891"/>
    <n v="29"/>
    <d v="2023-01-30T00:00:00"/>
    <x v="2"/>
    <n v="5"/>
    <n v="3480"/>
  </r>
  <r>
    <x v="291"/>
    <s v="Name61"/>
    <s v="Surname61"/>
    <s v="user61@example.com"/>
    <s v="+11872251192"/>
    <n v="69"/>
    <s v="Other"/>
    <s v="Canada"/>
    <s v="Sydney"/>
    <n v="113878"/>
    <n v="40"/>
    <d v="2023-07-18T00:00:00"/>
    <x v="0"/>
    <n v="3"/>
    <n v="1118"/>
  </r>
  <r>
    <x v="292"/>
    <s v="Name666"/>
    <s v="Surname666"/>
    <s v="user666@example.com"/>
    <s v="+14474611347"/>
    <n v="41"/>
    <s v="Female"/>
    <s v="Australia"/>
    <s v="London"/>
    <n v="113876"/>
    <n v="2"/>
    <d v="2023-01-23T00:00:00"/>
    <x v="1"/>
    <n v="9"/>
    <n v="9873"/>
  </r>
  <r>
    <x v="293"/>
    <s v="Name689"/>
    <s v="Surname689"/>
    <s v="user689@example.com"/>
    <s v="+17214200323"/>
    <n v="19"/>
    <s v="Male"/>
    <s v="Australia"/>
    <s v="Toronto"/>
    <n v="113859"/>
    <n v="55"/>
    <d v="2023-10-10T00:00:00"/>
    <x v="2"/>
    <n v="1"/>
    <n v="1958"/>
  </r>
  <r>
    <x v="294"/>
    <s v="Name632"/>
    <s v="Surname632"/>
    <s v="user632@example.com"/>
    <s v="+15697888208"/>
    <n v="20"/>
    <s v="Other"/>
    <s v="USA"/>
    <s v="Toronto"/>
    <n v="113783"/>
    <n v="34"/>
    <d v="2023-05-08T00:00:00"/>
    <x v="2"/>
    <n v="3"/>
    <n v="9877"/>
  </r>
  <r>
    <x v="295"/>
    <s v="Name437"/>
    <s v="Surname437"/>
    <s v="user437@example.com"/>
    <s v="+12239279508"/>
    <n v="68"/>
    <s v="Female"/>
    <s v="UK"/>
    <s v="Sydney"/>
    <n v="113670"/>
    <n v="53"/>
    <d v="2023-01-09T00:00:00"/>
    <x v="2"/>
    <n v="10"/>
    <n v="8504"/>
  </r>
  <r>
    <x v="296"/>
    <s v="Name402"/>
    <s v="Surname402"/>
    <s v="user402@example.com"/>
    <s v="+16132300623"/>
    <n v="27"/>
    <s v="Female"/>
    <s v="UK"/>
    <s v="Sydney"/>
    <n v="113660"/>
    <n v="91"/>
    <d v="2023-11-01T00:00:00"/>
    <x v="1"/>
    <n v="2"/>
    <n v="9236"/>
  </r>
  <r>
    <x v="297"/>
    <s v="Name242"/>
    <s v="Surname242"/>
    <s v="user242@example.com"/>
    <s v="+13035200029"/>
    <n v="31"/>
    <s v="Female"/>
    <s v="UK"/>
    <s v="London"/>
    <n v="113368"/>
    <n v="64"/>
    <d v="2023-11-22T00:00:00"/>
    <x v="2"/>
    <n v="8"/>
    <n v="9234"/>
  </r>
  <r>
    <x v="298"/>
    <s v="Name273"/>
    <s v="Surname273"/>
    <s v="user273@example.com"/>
    <s v="+14607642784"/>
    <n v="23"/>
    <s v="Other"/>
    <s v="India"/>
    <s v="London"/>
    <n v="113267"/>
    <n v="39"/>
    <d v="2023-08-31T00:00:00"/>
    <x v="2"/>
    <n v="9"/>
    <n v="6972"/>
  </r>
  <r>
    <x v="299"/>
    <s v="Name208"/>
    <s v="Surname208"/>
    <s v="user208@example.com"/>
    <s v="+17386811402"/>
    <n v="40"/>
    <s v="Other"/>
    <s v="Australia"/>
    <s v="Sydney"/>
    <n v="113194"/>
    <n v="59"/>
    <d v="2023-02-27T00:00:00"/>
    <x v="2"/>
    <n v="7"/>
    <n v="6482"/>
  </r>
  <r>
    <x v="300"/>
    <s v="Name517"/>
    <s v="Surname517"/>
    <s v="user517@example.com"/>
    <s v="+19816455937"/>
    <n v="43"/>
    <s v="Other"/>
    <s v="India"/>
    <s v="New York"/>
    <n v="113087"/>
    <n v="96"/>
    <d v="2023-01-22T00:00:00"/>
    <x v="2"/>
    <n v="8"/>
    <n v="1189"/>
  </r>
  <r>
    <x v="301"/>
    <s v="Name251"/>
    <s v="Surname251"/>
    <s v="user251@example.com"/>
    <s v="+11378548731"/>
    <n v="34"/>
    <s v="Female"/>
    <s v="USA"/>
    <s v="Toronto"/>
    <n v="113080"/>
    <n v="85"/>
    <d v="2023-05-31T00:00:00"/>
    <x v="2"/>
    <n v="9"/>
    <n v="8514"/>
  </r>
  <r>
    <x v="302"/>
    <s v="Name810"/>
    <s v="Surname810"/>
    <s v="user810@example.com"/>
    <s v="+19817052872"/>
    <n v="31"/>
    <s v="Female"/>
    <s v="UK"/>
    <s v="Sydney"/>
    <n v="113019"/>
    <n v="76"/>
    <d v="2023-11-01T00:00:00"/>
    <x v="2"/>
    <n v="2"/>
    <n v="5378"/>
  </r>
  <r>
    <x v="303"/>
    <s v="Name97"/>
    <s v="Surname97"/>
    <s v="user97@example.com"/>
    <s v="+17981214027"/>
    <n v="59"/>
    <s v="Male"/>
    <s v="Australia"/>
    <s v="Mumbai"/>
    <n v="112729"/>
    <n v="36"/>
    <d v="2023-06-29T00:00:00"/>
    <x v="1"/>
    <n v="9"/>
    <n v="4515"/>
  </r>
  <r>
    <x v="304"/>
    <s v="Name829"/>
    <s v="Surname829"/>
    <s v="user829@example.com"/>
    <s v="+15408482484"/>
    <n v="20"/>
    <s v="Male"/>
    <s v="Australia"/>
    <s v="Toronto"/>
    <n v="112726"/>
    <n v="46"/>
    <d v="2023-04-06T00:00:00"/>
    <x v="0"/>
    <n v="10"/>
    <n v="2351"/>
  </r>
  <r>
    <x v="305"/>
    <s v="Name575"/>
    <s v="Surname575"/>
    <s v="user575@example.com"/>
    <s v="+11116989110"/>
    <n v="58"/>
    <s v="Male"/>
    <s v="Canada"/>
    <s v="London"/>
    <n v="112650"/>
    <n v="31"/>
    <d v="2023-02-03T00:00:00"/>
    <x v="1"/>
    <n v="1"/>
    <n v="9215"/>
  </r>
  <r>
    <x v="306"/>
    <s v="Name966"/>
    <s v="Surname966"/>
    <s v="user966@example.com"/>
    <s v="+19879360244"/>
    <n v="60"/>
    <s v="Male"/>
    <s v="USA"/>
    <s v="Toronto"/>
    <n v="112533"/>
    <n v="50"/>
    <d v="2023-04-11T00:00:00"/>
    <x v="2"/>
    <n v="8"/>
    <n v="6286"/>
  </r>
  <r>
    <x v="307"/>
    <s v="Name515"/>
    <s v="Surname515"/>
    <s v="user515@example.com"/>
    <s v="+14408326496"/>
    <n v="26"/>
    <s v="Male"/>
    <s v="USA"/>
    <s v="Toronto"/>
    <n v="112463"/>
    <n v="50"/>
    <d v="2023-10-06T00:00:00"/>
    <x v="1"/>
    <n v="3"/>
    <n v="3813"/>
  </r>
  <r>
    <x v="308"/>
    <s v="Name506"/>
    <s v="Surname506"/>
    <s v="user506@example.com"/>
    <s v="+12903456270"/>
    <n v="32"/>
    <s v="Female"/>
    <s v="Canada"/>
    <s v="New York"/>
    <n v="112390"/>
    <n v="31"/>
    <d v="2023-02-12T00:00:00"/>
    <x v="1"/>
    <n v="4"/>
    <n v="6523"/>
  </r>
  <r>
    <x v="309"/>
    <s v="Name512"/>
    <s v="Surname512"/>
    <s v="user512@example.com"/>
    <s v="+12252435669"/>
    <n v="39"/>
    <s v="Female"/>
    <s v="Australia"/>
    <s v="Mumbai"/>
    <n v="112011"/>
    <n v="89"/>
    <d v="2023-11-22T00:00:00"/>
    <x v="1"/>
    <n v="2"/>
    <n v="5489"/>
  </r>
  <r>
    <x v="310"/>
    <s v="Name812"/>
    <s v="Surname812"/>
    <s v="user812@example.com"/>
    <s v="+11848871806"/>
    <n v="40"/>
    <s v="Male"/>
    <s v="India"/>
    <s v="London"/>
    <n v="111573"/>
    <n v="46"/>
    <d v="2023-05-26T00:00:00"/>
    <x v="2"/>
    <n v="6"/>
    <n v="8718"/>
  </r>
  <r>
    <x v="311"/>
    <s v="Name488"/>
    <s v="Surname488"/>
    <s v="user488@example.com"/>
    <s v="+13961279886"/>
    <n v="24"/>
    <s v="Female"/>
    <s v="India"/>
    <s v="Toronto"/>
    <n v="111537"/>
    <n v="38"/>
    <d v="2023-11-15T00:00:00"/>
    <x v="1"/>
    <n v="7"/>
    <n v="8776"/>
  </r>
  <r>
    <x v="312"/>
    <s v="Name541"/>
    <s v="Surname541"/>
    <s v="user541@example.com"/>
    <s v="+14470639569"/>
    <n v="22"/>
    <s v="Female"/>
    <s v="Australia"/>
    <s v="London"/>
    <n v="111507"/>
    <n v="88"/>
    <d v="2023-03-30T00:00:00"/>
    <x v="1"/>
    <n v="8"/>
    <n v="9836"/>
  </r>
  <r>
    <x v="313"/>
    <s v="Name732"/>
    <s v="Surname732"/>
    <s v="user732@example.com"/>
    <s v="+13334761258"/>
    <n v="63"/>
    <s v="Other"/>
    <s v="Canada"/>
    <s v="New York"/>
    <n v="111321"/>
    <n v="19"/>
    <d v="2023-03-28T00:00:00"/>
    <x v="0"/>
    <n v="2"/>
    <n v="6448"/>
  </r>
  <r>
    <x v="314"/>
    <s v="Name400"/>
    <s v="Surname400"/>
    <s v="user400@example.com"/>
    <s v="+19875349721"/>
    <n v="35"/>
    <s v="Other"/>
    <s v="Canada"/>
    <s v="Sydney"/>
    <n v="111224"/>
    <n v="34"/>
    <d v="2023-09-11T00:00:00"/>
    <x v="1"/>
    <n v="3"/>
    <n v="3715"/>
  </r>
  <r>
    <x v="315"/>
    <s v="Name111"/>
    <s v="Surname111"/>
    <s v="user111@example.com"/>
    <s v="+16138898284"/>
    <n v="45"/>
    <s v="Other"/>
    <s v="Australia"/>
    <s v="Sydney"/>
    <n v="111175"/>
    <n v="47"/>
    <d v="2023-12-23T00:00:00"/>
    <x v="2"/>
    <n v="1"/>
    <n v="8321"/>
  </r>
  <r>
    <x v="316"/>
    <s v="Name723"/>
    <s v="Surname723"/>
    <s v="user723@example.com"/>
    <s v="+16085686860"/>
    <n v="47"/>
    <s v="Other"/>
    <s v="Australia"/>
    <s v="Mumbai"/>
    <n v="111155"/>
    <n v="69"/>
    <d v="2023-01-11T00:00:00"/>
    <x v="2"/>
    <n v="9"/>
    <n v="7321"/>
  </r>
  <r>
    <x v="317"/>
    <s v="Name883"/>
    <s v="Surname883"/>
    <s v="user883@example.com"/>
    <s v="+18008799774"/>
    <n v="37"/>
    <s v="Male"/>
    <s v="UK"/>
    <s v="Sydney"/>
    <n v="111078"/>
    <n v="62"/>
    <d v="2023-11-29T00:00:00"/>
    <x v="2"/>
    <n v="9"/>
    <n v="7609"/>
  </r>
  <r>
    <x v="318"/>
    <s v="Name566"/>
    <s v="Surname566"/>
    <s v="user566@example.com"/>
    <s v="+17886565257"/>
    <n v="54"/>
    <s v="Other"/>
    <s v="UK"/>
    <s v="Toronto"/>
    <n v="110947"/>
    <n v="45"/>
    <d v="2023-04-27T00:00:00"/>
    <x v="2"/>
    <n v="6"/>
    <n v="2513"/>
  </r>
  <r>
    <x v="319"/>
    <s v="Name175"/>
    <s v="Surname175"/>
    <s v="user175@example.com"/>
    <s v="+13330699322"/>
    <n v="61"/>
    <s v="Other"/>
    <s v="USA"/>
    <s v="Toronto"/>
    <n v="110918"/>
    <n v="14"/>
    <d v="2023-12-15T00:00:00"/>
    <x v="0"/>
    <n v="5"/>
    <n v="907"/>
  </r>
  <r>
    <x v="320"/>
    <s v="Name413"/>
    <s v="Surname413"/>
    <s v="user413@example.com"/>
    <s v="+15977604678"/>
    <n v="31"/>
    <s v="Other"/>
    <s v="Australia"/>
    <s v="Mumbai"/>
    <n v="110787"/>
    <n v="64"/>
    <d v="2023-01-08T00:00:00"/>
    <x v="1"/>
    <n v="8"/>
    <n v="5230"/>
  </r>
  <r>
    <x v="321"/>
    <s v="Name869"/>
    <s v="Surname869"/>
    <s v="user869@example.com"/>
    <s v="+16589475947"/>
    <n v="65"/>
    <s v="Other"/>
    <s v="India"/>
    <s v="Mumbai"/>
    <n v="110672"/>
    <n v="63"/>
    <d v="2023-10-11T00:00:00"/>
    <x v="2"/>
    <n v="5"/>
    <n v="4659"/>
  </r>
  <r>
    <x v="322"/>
    <s v="Name154"/>
    <s v="Surname154"/>
    <s v="user154@example.com"/>
    <s v="+16770275564"/>
    <n v="29"/>
    <s v="Other"/>
    <s v="UK"/>
    <s v="Sydney"/>
    <n v="110568"/>
    <n v="53"/>
    <d v="2023-01-05T00:00:00"/>
    <x v="2"/>
    <n v="6"/>
    <n v="1063"/>
  </r>
  <r>
    <x v="323"/>
    <s v="Name628"/>
    <s v="Surname628"/>
    <s v="user628@example.com"/>
    <s v="+11539103417"/>
    <n v="37"/>
    <s v="Other"/>
    <s v="Canada"/>
    <s v="Mumbai"/>
    <n v="110385"/>
    <n v="62"/>
    <d v="2023-04-14T00:00:00"/>
    <x v="2"/>
    <n v="3"/>
    <n v="649"/>
  </r>
  <r>
    <x v="324"/>
    <s v="Name550"/>
    <s v="Surname550"/>
    <s v="user550@example.com"/>
    <s v="+17750533425"/>
    <n v="45"/>
    <s v="Other"/>
    <s v="USA"/>
    <s v="Sydney"/>
    <n v="110260"/>
    <n v="60"/>
    <d v="2023-01-25T00:00:00"/>
    <x v="1"/>
    <n v="9"/>
    <n v="1417"/>
  </r>
  <r>
    <x v="325"/>
    <s v="Name695"/>
    <s v="Surname695"/>
    <s v="user695@example.com"/>
    <s v="+12489342308"/>
    <n v="66"/>
    <s v="Male"/>
    <s v="UK"/>
    <s v="Mumbai"/>
    <n v="109794"/>
    <n v="71"/>
    <d v="2023-09-08T00:00:00"/>
    <x v="2"/>
    <n v="7"/>
    <n v="8332"/>
  </r>
  <r>
    <x v="326"/>
    <s v="Name655"/>
    <s v="Surname655"/>
    <s v="user655@example.com"/>
    <s v="+17058792825"/>
    <n v="35"/>
    <s v="Male"/>
    <s v="India"/>
    <s v="Mumbai"/>
    <n v="109716"/>
    <n v="100"/>
    <d v="2023-02-21T00:00:00"/>
    <x v="2"/>
    <n v="6"/>
    <n v="8684"/>
  </r>
  <r>
    <x v="327"/>
    <s v="Name350"/>
    <s v="Surname350"/>
    <s v="user350@example.com"/>
    <s v="+15589719566"/>
    <n v="34"/>
    <s v="Female"/>
    <s v="Canada"/>
    <s v="Sydney"/>
    <n v="109419"/>
    <n v="67"/>
    <d v="2023-03-04T00:00:00"/>
    <x v="1"/>
    <n v="4"/>
    <n v="5601"/>
  </r>
  <r>
    <x v="328"/>
    <s v="Name468"/>
    <s v="Surname468"/>
    <s v="user468@example.com"/>
    <s v="+16613396584"/>
    <n v="31"/>
    <s v="Male"/>
    <s v="Australia"/>
    <s v="Mumbai"/>
    <n v="109242"/>
    <n v="8"/>
    <d v="2023-07-16T00:00:00"/>
    <x v="1"/>
    <n v="1"/>
    <n v="3102"/>
  </r>
  <r>
    <x v="329"/>
    <s v="Name347"/>
    <s v="Surname347"/>
    <s v="user347@example.com"/>
    <s v="+13324599392"/>
    <n v="55"/>
    <s v="Male"/>
    <s v="UK"/>
    <s v="Mumbai"/>
    <n v="109167"/>
    <n v="31"/>
    <d v="2023-10-16T00:00:00"/>
    <x v="2"/>
    <n v="7"/>
    <n v="6522"/>
  </r>
  <r>
    <x v="330"/>
    <s v="Name825"/>
    <s v="Surname825"/>
    <s v="user825@example.com"/>
    <s v="+15874619886"/>
    <n v="28"/>
    <s v="Female"/>
    <s v="India"/>
    <s v="New York"/>
    <n v="108875"/>
    <n v="94"/>
    <d v="2023-10-19T00:00:00"/>
    <x v="0"/>
    <n v="9"/>
    <n v="6680"/>
  </r>
  <r>
    <x v="331"/>
    <s v="Name511"/>
    <s v="Surname511"/>
    <s v="user511@example.com"/>
    <s v="+12061220582"/>
    <n v="26"/>
    <s v="Female"/>
    <s v="USA"/>
    <s v="Mumbai"/>
    <n v="108865"/>
    <n v="18"/>
    <d v="2023-04-24T00:00:00"/>
    <x v="0"/>
    <n v="1"/>
    <n v="971"/>
  </r>
  <r>
    <x v="332"/>
    <s v="Name608"/>
    <s v="Surname608"/>
    <s v="user608@example.com"/>
    <s v="+13076915735"/>
    <n v="53"/>
    <s v="Other"/>
    <s v="India"/>
    <s v="Mumbai"/>
    <n v="108808"/>
    <n v="24"/>
    <d v="2023-11-15T00:00:00"/>
    <x v="1"/>
    <n v="9"/>
    <n v="1146"/>
  </r>
  <r>
    <x v="333"/>
    <s v="Name210"/>
    <s v="Surname210"/>
    <s v="user210@example.com"/>
    <s v="+11761631158"/>
    <n v="50"/>
    <s v="Male"/>
    <s v="Australia"/>
    <s v="Mumbai"/>
    <n v="108618"/>
    <n v="45"/>
    <d v="2023-12-24T00:00:00"/>
    <x v="2"/>
    <n v="8"/>
    <n v="6749"/>
  </r>
  <r>
    <x v="334"/>
    <s v="Name12"/>
    <s v="Surname12"/>
    <s v="user12@example.com"/>
    <s v="+16099878128"/>
    <n v="50"/>
    <s v="Male"/>
    <s v="Australia"/>
    <s v="Mumbai"/>
    <n v="108449"/>
    <n v="66"/>
    <d v="2023-03-15T00:00:00"/>
    <x v="0"/>
    <n v="10"/>
    <n v="8155"/>
  </r>
  <r>
    <x v="335"/>
    <s v="Name906"/>
    <s v="Surname906"/>
    <s v="user906@example.com"/>
    <s v="+13633696880"/>
    <n v="58"/>
    <s v="Female"/>
    <s v="Australia"/>
    <s v="New York"/>
    <n v="108329"/>
    <n v="12"/>
    <d v="2023-01-25T00:00:00"/>
    <x v="1"/>
    <n v="4"/>
    <n v="5523"/>
  </r>
  <r>
    <x v="336"/>
    <s v="Name618"/>
    <s v="Surname618"/>
    <s v="user618@example.com"/>
    <s v="+17638855101"/>
    <n v="26"/>
    <s v="Other"/>
    <s v="Canada"/>
    <s v="Mumbai"/>
    <n v="107711"/>
    <n v="98"/>
    <d v="2023-03-13T00:00:00"/>
    <x v="0"/>
    <n v="5"/>
    <n v="4144"/>
  </r>
  <r>
    <x v="337"/>
    <s v="Name995"/>
    <s v="Surname995"/>
    <s v="user995@example.com"/>
    <s v="+13986053824"/>
    <n v="20"/>
    <s v="Male"/>
    <s v="Australia"/>
    <s v="Sydney"/>
    <n v="107632"/>
    <n v="17"/>
    <d v="2023-03-09T00:00:00"/>
    <x v="0"/>
    <n v="5"/>
    <n v="4494"/>
  </r>
  <r>
    <x v="338"/>
    <s v="Name432"/>
    <s v="Surname432"/>
    <s v="user432@example.com"/>
    <s v="+15845747849"/>
    <n v="35"/>
    <s v="Other"/>
    <s v="Canada"/>
    <s v="London"/>
    <n v="107558"/>
    <n v="45"/>
    <d v="2023-04-19T00:00:00"/>
    <x v="0"/>
    <n v="5"/>
    <n v="7327"/>
  </r>
  <r>
    <x v="339"/>
    <s v="Name499"/>
    <s v="Surname499"/>
    <s v="user499@example.com"/>
    <s v="+17797930082"/>
    <n v="58"/>
    <s v="Other"/>
    <s v="Canada"/>
    <s v="Toronto"/>
    <n v="107432"/>
    <n v="51"/>
    <d v="2023-04-25T00:00:00"/>
    <x v="0"/>
    <n v="4"/>
    <n v="4099"/>
  </r>
  <r>
    <x v="340"/>
    <s v="Name785"/>
    <s v="Surname785"/>
    <s v="user785@example.com"/>
    <s v="+15078693885"/>
    <n v="47"/>
    <s v="Other"/>
    <s v="UK"/>
    <s v="Toronto"/>
    <n v="107215"/>
    <n v="20"/>
    <d v="2023-01-25T00:00:00"/>
    <x v="1"/>
    <n v="2"/>
    <n v="7891"/>
  </r>
  <r>
    <x v="341"/>
    <s v="Name938"/>
    <s v="Surname938"/>
    <s v="user938@example.com"/>
    <s v="+11396358282"/>
    <n v="68"/>
    <s v="Other"/>
    <s v="UK"/>
    <s v="Sydney"/>
    <n v="107116"/>
    <n v="45"/>
    <d v="2023-05-10T00:00:00"/>
    <x v="1"/>
    <n v="4"/>
    <n v="3124"/>
  </r>
  <r>
    <x v="342"/>
    <s v="Name166"/>
    <s v="Surname166"/>
    <s v="user166@example.com"/>
    <s v="+11787157000"/>
    <n v="57"/>
    <s v="Other"/>
    <s v="UK"/>
    <s v="New York"/>
    <n v="107104"/>
    <n v="1"/>
    <d v="2023-02-09T00:00:00"/>
    <x v="2"/>
    <n v="2"/>
    <n v="8014"/>
  </r>
  <r>
    <x v="343"/>
    <s v="Name730"/>
    <s v="Surname730"/>
    <s v="user730@example.com"/>
    <s v="+12210635289"/>
    <n v="21"/>
    <s v="Female"/>
    <s v="Australia"/>
    <s v="New York"/>
    <n v="107052"/>
    <n v="86"/>
    <d v="2023-05-24T00:00:00"/>
    <x v="1"/>
    <n v="1"/>
    <n v="125"/>
  </r>
  <r>
    <x v="344"/>
    <s v="Name788"/>
    <s v="Surname788"/>
    <s v="user788@example.com"/>
    <s v="+19061575552"/>
    <n v="52"/>
    <s v="Female"/>
    <s v="Australia"/>
    <s v="New York"/>
    <n v="107044"/>
    <n v="31"/>
    <d v="2023-06-25T00:00:00"/>
    <x v="2"/>
    <n v="4"/>
    <n v="7691"/>
  </r>
  <r>
    <x v="345"/>
    <s v="Name887"/>
    <s v="Surname887"/>
    <s v="user887@example.com"/>
    <s v="+11181554629"/>
    <n v="55"/>
    <s v="Male"/>
    <s v="Canada"/>
    <s v="Sydney"/>
    <n v="106942"/>
    <n v="78"/>
    <d v="2023-04-30T00:00:00"/>
    <x v="2"/>
    <n v="9"/>
    <n v="2454"/>
  </r>
  <r>
    <x v="346"/>
    <s v="Name0"/>
    <s v="Surname0"/>
    <s v="user0@example.com"/>
    <s v="+12033444569"/>
    <n v="53"/>
    <s v="Other"/>
    <s v="Australia"/>
    <s v="London"/>
    <n v="106866"/>
    <n v="13"/>
    <d v="2023-04-15T00:00:00"/>
    <x v="2"/>
    <n v="3"/>
    <n v="3"/>
  </r>
  <r>
    <x v="347"/>
    <s v="Name999"/>
    <s v="Surname999"/>
    <s v="user999@example.com"/>
    <s v="+12345565046"/>
    <n v="35"/>
    <s v="Male"/>
    <s v="UK"/>
    <s v="New York"/>
    <n v="106703"/>
    <n v="39"/>
    <d v="2023-02-01T00:00:00"/>
    <x v="0"/>
    <n v="7"/>
    <n v="9885"/>
  </r>
  <r>
    <x v="348"/>
    <s v="Name731"/>
    <s v="Surname731"/>
    <s v="user731@example.com"/>
    <s v="+19600820813"/>
    <n v="56"/>
    <s v="Other"/>
    <s v="USA"/>
    <s v="New York"/>
    <n v="106626"/>
    <n v="52"/>
    <d v="2023-02-17T00:00:00"/>
    <x v="2"/>
    <n v="9"/>
    <n v="6741"/>
  </r>
  <r>
    <x v="349"/>
    <s v="Name478"/>
    <s v="Surname478"/>
    <s v="user478@example.com"/>
    <s v="+11203098296"/>
    <n v="33"/>
    <s v="Other"/>
    <s v="Australia"/>
    <s v="London"/>
    <n v="106565"/>
    <n v="55"/>
    <d v="2023-03-12T00:00:00"/>
    <x v="2"/>
    <n v="4"/>
    <n v="4525"/>
  </r>
  <r>
    <x v="350"/>
    <s v="Name713"/>
    <s v="Surname713"/>
    <s v="user713@example.com"/>
    <s v="+16352652226"/>
    <n v="55"/>
    <s v="Male"/>
    <s v="UK"/>
    <s v="London"/>
    <n v="106378"/>
    <n v="20"/>
    <d v="2023-03-23T00:00:00"/>
    <x v="0"/>
    <n v="4"/>
    <n v="5346"/>
  </r>
  <r>
    <x v="351"/>
    <s v="Name3"/>
    <s v="Surname3"/>
    <s v="user3@example.com"/>
    <s v="+16457017295"/>
    <n v="22"/>
    <s v="Other"/>
    <s v="USA"/>
    <s v="London"/>
    <n v="106010"/>
    <n v="48"/>
    <d v="2023-10-01T00:00:00"/>
    <x v="2"/>
    <n v="3"/>
    <n v="703"/>
  </r>
  <r>
    <x v="352"/>
    <s v="Name752"/>
    <s v="Surname752"/>
    <s v="user752@example.com"/>
    <s v="+19052761419"/>
    <n v="46"/>
    <s v="Other"/>
    <s v="Canada"/>
    <s v="New York"/>
    <n v="105830"/>
    <n v="40"/>
    <d v="2023-09-13T00:00:00"/>
    <x v="2"/>
    <n v="5"/>
    <n v="1846"/>
  </r>
  <r>
    <x v="353"/>
    <s v="Name168"/>
    <s v="Surname168"/>
    <s v="user168@example.com"/>
    <s v="+16150430418"/>
    <n v="46"/>
    <s v="Male"/>
    <s v="Australia"/>
    <s v="London"/>
    <n v="105777"/>
    <n v="89"/>
    <d v="2023-02-20T00:00:00"/>
    <x v="0"/>
    <n v="5"/>
    <n v="1506"/>
  </r>
  <r>
    <x v="354"/>
    <s v="Name557"/>
    <s v="Surname557"/>
    <s v="user557@example.com"/>
    <s v="+18945188888"/>
    <n v="38"/>
    <s v="Female"/>
    <s v="UK"/>
    <s v="Mumbai"/>
    <n v="105572"/>
    <n v="76"/>
    <d v="2023-11-21T00:00:00"/>
    <x v="2"/>
    <n v="6"/>
    <n v="2042"/>
  </r>
  <r>
    <x v="355"/>
    <s v="Name141"/>
    <s v="Surname141"/>
    <s v="user141@example.com"/>
    <s v="+15681118844"/>
    <n v="42"/>
    <s v="Male"/>
    <s v="Australia"/>
    <s v="Mumbai"/>
    <n v="105536"/>
    <n v="23"/>
    <d v="2023-05-18T00:00:00"/>
    <x v="2"/>
    <n v="4"/>
    <n v="7571"/>
  </r>
  <r>
    <x v="356"/>
    <s v="Name327"/>
    <s v="Surname327"/>
    <s v="user327@example.com"/>
    <s v="+19681944905"/>
    <n v="44"/>
    <s v="Other"/>
    <s v="Australia"/>
    <s v="New York"/>
    <n v="105462"/>
    <n v="13"/>
    <d v="2023-12-26T00:00:00"/>
    <x v="2"/>
    <n v="7"/>
    <n v="7862"/>
  </r>
  <r>
    <x v="357"/>
    <s v="Name198"/>
    <s v="Surname198"/>
    <s v="user198@example.com"/>
    <s v="+14161612484"/>
    <n v="47"/>
    <s v="Other"/>
    <s v="USA"/>
    <s v="Toronto"/>
    <n v="105069"/>
    <n v="28"/>
    <d v="2023-12-06T00:00:00"/>
    <x v="1"/>
    <n v="5"/>
    <n v="8349"/>
  </r>
  <r>
    <x v="358"/>
    <s v="Name625"/>
    <s v="Surname625"/>
    <s v="user625@example.com"/>
    <s v="+19088692416"/>
    <n v="65"/>
    <s v="Female"/>
    <s v="UK"/>
    <s v="Mumbai"/>
    <n v="104987"/>
    <n v="80"/>
    <d v="2023-03-29T00:00:00"/>
    <x v="2"/>
    <n v="8"/>
    <n v="7252"/>
  </r>
  <r>
    <x v="359"/>
    <s v="Name331"/>
    <s v="Surname331"/>
    <s v="user331@example.com"/>
    <s v="+19538738299"/>
    <n v="63"/>
    <s v="Male"/>
    <s v="UK"/>
    <s v="Toronto"/>
    <n v="104727"/>
    <n v="72"/>
    <d v="2023-10-23T00:00:00"/>
    <x v="2"/>
    <n v="3"/>
    <n v="6714"/>
  </r>
  <r>
    <x v="360"/>
    <s v="Name283"/>
    <s v="Surname283"/>
    <s v="user283@example.com"/>
    <s v="+17949956192"/>
    <n v="30"/>
    <s v="Female"/>
    <s v="USA"/>
    <s v="Sydney"/>
    <n v="104237"/>
    <n v="94"/>
    <d v="2023-11-23T00:00:00"/>
    <x v="2"/>
    <n v="5"/>
    <n v="3683"/>
  </r>
  <r>
    <x v="361"/>
    <s v="Name33"/>
    <s v="Surname33"/>
    <s v="user33@example.com"/>
    <s v="+11025649223"/>
    <n v="22"/>
    <s v="Other"/>
    <s v="UK"/>
    <s v="Toronto"/>
    <n v="104175"/>
    <n v="19"/>
    <d v="2023-09-25T00:00:00"/>
    <x v="1"/>
    <n v="1"/>
    <n v="8423"/>
  </r>
  <r>
    <x v="362"/>
    <s v="Name444"/>
    <s v="Surname444"/>
    <s v="user444@example.com"/>
    <s v="+19369685999"/>
    <n v="32"/>
    <s v="Other"/>
    <s v="India"/>
    <s v="Sydney"/>
    <n v="103875"/>
    <n v="69"/>
    <d v="2023-04-06T00:00:00"/>
    <x v="0"/>
    <n v="6"/>
    <n v="4779"/>
  </r>
  <r>
    <x v="363"/>
    <s v="Name836"/>
    <s v="Surname836"/>
    <s v="user836@example.com"/>
    <s v="+11303294306"/>
    <n v="57"/>
    <s v="Female"/>
    <s v="USA"/>
    <s v="London"/>
    <n v="103799"/>
    <n v="34"/>
    <d v="2023-04-03T00:00:00"/>
    <x v="0"/>
    <n v="4"/>
    <n v="4756"/>
  </r>
  <r>
    <x v="364"/>
    <s v="Name324"/>
    <s v="Surname324"/>
    <s v="user324@example.com"/>
    <s v="+13133555424"/>
    <n v="61"/>
    <s v="Other"/>
    <s v="Australia"/>
    <s v="Sydney"/>
    <n v="103778"/>
    <n v="57"/>
    <d v="2024-01-01T00:00:00"/>
    <x v="2"/>
    <n v="10"/>
    <n v="8274"/>
  </r>
  <r>
    <x v="365"/>
    <s v="Name857"/>
    <s v="Surname857"/>
    <s v="user857@example.com"/>
    <s v="+17025509792"/>
    <n v="39"/>
    <s v="Female"/>
    <s v="UK"/>
    <s v="London"/>
    <n v="103712"/>
    <n v="26"/>
    <d v="2023-12-11T00:00:00"/>
    <x v="1"/>
    <n v="5"/>
    <n v="5335"/>
  </r>
  <r>
    <x v="366"/>
    <s v="Name482"/>
    <s v="Surname482"/>
    <s v="user482@example.com"/>
    <s v="+11921015884"/>
    <n v="60"/>
    <s v="Male"/>
    <s v="India"/>
    <s v="New York"/>
    <n v="103645"/>
    <n v="42"/>
    <d v="2023-06-22T00:00:00"/>
    <x v="0"/>
    <n v="2"/>
    <n v="9881"/>
  </r>
  <r>
    <x v="367"/>
    <s v="Name378"/>
    <s v="Surname378"/>
    <s v="user378@example.com"/>
    <s v="+13854923363"/>
    <n v="45"/>
    <s v="Female"/>
    <s v="USA"/>
    <s v="Toronto"/>
    <n v="103617"/>
    <n v="4"/>
    <d v="2023-08-29T00:00:00"/>
    <x v="0"/>
    <n v="3"/>
    <n v="7572"/>
  </r>
  <r>
    <x v="368"/>
    <s v="Name41"/>
    <s v="Surname41"/>
    <s v="user41@example.com"/>
    <s v="+17292402134"/>
    <n v="28"/>
    <s v="Male"/>
    <s v="Canada"/>
    <s v="Sydney"/>
    <n v="103475"/>
    <n v="38"/>
    <d v="2023-07-18T00:00:00"/>
    <x v="0"/>
    <n v="1"/>
    <n v="5038"/>
  </r>
  <r>
    <x v="369"/>
    <s v="Name586"/>
    <s v="Surname586"/>
    <s v="user586@example.com"/>
    <s v="+13902397045"/>
    <n v="19"/>
    <s v="Female"/>
    <s v="USA"/>
    <s v="London"/>
    <n v="103294"/>
    <n v="9"/>
    <d v="2023-12-04T00:00:00"/>
    <x v="1"/>
    <n v="9"/>
    <n v="1385"/>
  </r>
  <r>
    <x v="370"/>
    <s v="Name132"/>
    <s v="Surname132"/>
    <s v="user132@example.com"/>
    <s v="+15634554068"/>
    <n v="65"/>
    <s v="Other"/>
    <s v="USA"/>
    <s v="Mumbai"/>
    <n v="103043"/>
    <n v="84"/>
    <d v="2023-10-22T00:00:00"/>
    <x v="1"/>
    <n v="3"/>
    <n v="1446"/>
  </r>
  <r>
    <x v="371"/>
    <s v="Name296"/>
    <s v="Surname296"/>
    <s v="user296@example.com"/>
    <s v="+12185613906"/>
    <n v="18"/>
    <s v="Other"/>
    <s v="India"/>
    <s v="Toronto"/>
    <n v="102925"/>
    <n v="88"/>
    <d v="2023-04-21T00:00:00"/>
    <x v="0"/>
    <n v="3"/>
    <n v="9827"/>
  </r>
  <r>
    <x v="372"/>
    <s v="Name470"/>
    <s v="Surname470"/>
    <s v="user470@example.com"/>
    <s v="+11164417808"/>
    <n v="22"/>
    <s v="Other"/>
    <s v="Canada"/>
    <s v="Sydney"/>
    <n v="102912"/>
    <n v="70"/>
    <d v="2023-07-17T00:00:00"/>
    <x v="0"/>
    <n v="9"/>
    <n v="1785"/>
  </r>
  <r>
    <x v="373"/>
    <s v="Name908"/>
    <s v="Surname908"/>
    <s v="user908@example.com"/>
    <s v="+16281777248"/>
    <n v="67"/>
    <s v="Female"/>
    <s v="India"/>
    <s v="New York"/>
    <n v="102843"/>
    <n v="5"/>
    <d v="2023-05-06T00:00:00"/>
    <x v="1"/>
    <n v="1"/>
    <n v="8379"/>
  </r>
  <r>
    <x v="374"/>
    <s v="Name930"/>
    <s v="Surname930"/>
    <s v="user930@example.com"/>
    <s v="+18522252384"/>
    <n v="49"/>
    <s v="Other"/>
    <s v="USA"/>
    <s v="New York"/>
    <n v="102688"/>
    <n v="20"/>
    <d v="2023-04-27T00:00:00"/>
    <x v="1"/>
    <n v="6"/>
    <n v="401"/>
  </r>
  <r>
    <x v="375"/>
    <s v="Name707"/>
    <s v="Surname707"/>
    <s v="user707@example.com"/>
    <s v="+17747692749"/>
    <n v="40"/>
    <s v="Male"/>
    <s v="USA"/>
    <s v="Mumbai"/>
    <n v="102675"/>
    <n v="79"/>
    <d v="2023-04-09T00:00:00"/>
    <x v="1"/>
    <n v="5"/>
    <n v="7177"/>
  </r>
  <r>
    <x v="376"/>
    <s v="Name760"/>
    <s v="Surname760"/>
    <s v="user760@example.com"/>
    <s v="+14171007354"/>
    <n v="32"/>
    <s v="Other"/>
    <s v="UK"/>
    <s v="London"/>
    <n v="102661"/>
    <n v="42"/>
    <d v="2023-08-09T00:00:00"/>
    <x v="2"/>
    <n v="7"/>
    <n v="7990"/>
  </r>
  <r>
    <x v="377"/>
    <s v="Name410"/>
    <s v="Surname410"/>
    <s v="user410@example.com"/>
    <s v="+13602190273"/>
    <n v="48"/>
    <s v="Female"/>
    <s v="India"/>
    <s v="Mumbai"/>
    <n v="102403"/>
    <n v="11"/>
    <d v="2023-02-20T00:00:00"/>
    <x v="2"/>
    <n v="4"/>
    <n v="1215"/>
  </r>
  <r>
    <x v="378"/>
    <s v="Name259"/>
    <s v="Surname259"/>
    <s v="user259@example.com"/>
    <s v="+13554178403"/>
    <n v="39"/>
    <s v="Other"/>
    <s v="UK"/>
    <s v="Mumbai"/>
    <n v="101855"/>
    <n v="82"/>
    <d v="2023-05-18T00:00:00"/>
    <x v="2"/>
    <n v="2"/>
    <n v="4277"/>
  </r>
  <r>
    <x v="379"/>
    <s v="Name540"/>
    <s v="Surname540"/>
    <s v="user540@example.com"/>
    <s v="+17556291086"/>
    <n v="31"/>
    <s v="Male"/>
    <s v="Australia"/>
    <s v="Sydney"/>
    <n v="101822"/>
    <n v="81"/>
    <d v="2023-12-10T00:00:00"/>
    <x v="0"/>
    <n v="10"/>
    <n v="1797"/>
  </r>
  <r>
    <x v="380"/>
    <s v="Name385"/>
    <s v="Surname385"/>
    <s v="user385@example.com"/>
    <s v="+12803527280"/>
    <n v="27"/>
    <s v="Male"/>
    <s v="Australia"/>
    <s v="New York"/>
    <n v="101730"/>
    <n v="15"/>
    <d v="2023-06-05T00:00:00"/>
    <x v="2"/>
    <n v="3"/>
    <n v="8138"/>
  </r>
  <r>
    <x v="381"/>
    <s v="Name620"/>
    <s v="Surname620"/>
    <s v="user620@example.com"/>
    <s v="+14186101161"/>
    <n v="64"/>
    <s v="Male"/>
    <s v="Australia"/>
    <s v="Toronto"/>
    <n v="101727"/>
    <n v="53"/>
    <d v="2023-11-10T00:00:00"/>
    <x v="2"/>
    <n v="3"/>
    <n v="6455"/>
  </r>
  <r>
    <x v="382"/>
    <s v="Name186"/>
    <s v="Surname186"/>
    <s v="user186@example.com"/>
    <s v="+19333403357"/>
    <n v="27"/>
    <s v="Other"/>
    <s v="Canada"/>
    <s v="Sydney"/>
    <n v="101684"/>
    <n v="77"/>
    <d v="2023-06-30T00:00:00"/>
    <x v="0"/>
    <n v="6"/>
    <n v="408"/>
  </r>
  <r>
    <x v="383"/>
    <s v="Name159"/>
    <s v="Surname159"/>
    <s v="user159@example.com"/>
    <s v="+17125322384"/>
    <n v="38"/>
    <s v="Male"/>
    <s v="UK"/>
    <s v="Toronto"/>
    <n v="101641"/>
    <n v="16"/>
    <d v="2023-11-22T00:00:00"/>
    <x v="0"/>
    <n v="5"/>
    <n v="8406"/>
  </r>
  <r>
    <x v="384"/>
    <s v="Name844"/>
    <s v="Surname844"/>
    <s v="user844@example.com"/>
    <s v="+19047307744"/>
    <n v="34"/>
    <s v="Female"/>
    <s v="UK"/>
    <s v="Toronto"/>
    <n v="101460"/>
    <n v="68"/>
    <d v="2023-06-22T00:00:00"/>
    <x v="2"/>
    <n v="2"/>
    <n v="7259"/>
  </r>
  <r>
    <x v="385"/>
    <s v="Name623"/>
    <s v="Surname623"/>
    <s v="user623@example.com"/>
    <s v="+16692121008"/>
    <n v="70"/>
    <s v="Male"/>
    <s v="UK"/>
    <s v="Toronto"/>
    <n v="101133"/>
    <n v="49"/>
    <d v="2023-07-20T00:00:00"/>
    <x v="0"/>
    <n v="2"/>
    <n v="941"/>
  </r>
  <r>
    <x v="386"/>
    <s v="Name389"/>
    <s v="Surname389"/>
    <s v="user389@example.com"/>
    <s v="+19243038131"/>
    <n v="35"/>
    <s v="Female"/>
    <s v="UK"/>
    <s v="Sydney"/>
    <n v="101054"/>
    <n v="40"/>
    <d v="2023-06-20T00:00:00"/>
    <x v="0"/>
    <n v="8"/>
    <n v="8548"/>
  </r>
  <r>
    <x v="387"/>
    <s v="Name690"/>
    <s v="Surname690"/>
    <s v="user690@example.com"/>
    <s v="+14994216654"/>
    <n v="39"/>
    <s v="Male"/>
    <s v="USA"/>
    <s v="Sydney"/>
    <n v="100946"/>
    <n v="70"/>
    <d v="2023-07-25T00:00:00"/>
    <x v="1"/>
    <n v="10"/>
    <n v="6878"/>
  </r>
  <r>
    <x v="388"/>
    <s v="Name2"/>
    <s v="Surname2"/>
    <s v="user2@example.com"/>
    <s v="+17981907864"/>
    <n v="42"/>
    <s v="Female"/>
    <s v="India"/>
    <s v="Toronto"/>
    <n v="100692"/>
    <n v="64"/>
    <d v="2023-01-24T00:00:00"/>
    <x v="1"/>
    <n v="7"/>
    <n v="2716"/>
  </r>
  <r>
    <x v="389"/>
    <s v="Name286"/>
    <s v="Surname286"/>
    <s v="user286@example.com"/>
    <s v="+14182485501"/>
    <n v="39"/>
    <s v="Male"/>
    <s v="UK"/>
    <s v="Sydney"/>
    <n v="100350"/>
    <n v="27"/>
    <d v="2023-04-07T00:00:00"/>
    <x v="0"/>
    <n v="4"/>
    <n v="6287"/>
  </r>
  <r>
    <x v="390"/>
    <s v="Name464"/>
    <s v="Surname464"/>
    <s v="user464@example.com"/>
    <s v="+19922369779"/>
    <n v="59"/>
    <s v="Female"/>
    <s v="USA"/>
    <s v="New York"/>
    <n v="99964"/>
    <n v="85"/>
    <d v="2023-01-30T00:00:00"/>
    <x v="2"/>
    <n v="7"/>
    <n v="3217"/>
  </r>
  <r>
    <x v="391"/>
    <s v="Name639"/>
    <s v="Surname639"/>
    <s v="user639@example.com"/>
    <s v="+17763542046"/>
    <n v="63"/>
    <s v="Other"/>
    <s v="India"/>
    <s v="Sydney"/>
    <n v="99669"/>
    <n v="42"/>
    <d v="2023-02-06T00:00:00"/>
    <x v="0"/>
    <n v="3"/>
    <n v="4761"/>
  </r>
  <r>
    <x v="392"/>
    <s v="Name145"/>
    <s v="Surname145"/>
    <s v="user145@example.com"/>
    <s v="+14488330626"/>
    <n v="59"/>
    <s v="Other"/>
    <s v="India"/>
    <s v="Mumbai"/>
    <n v="99485"/>
    <n v="17"/>
    <d v="2023-06-24T00:00:00"/>
    <x v="0"/>
    <n v="4"/>
    <n v="9311"/>
  </r>
  <r>
    <x v="393"/>
    <s v="Name603"/>
    <s v="Surname603"/>
    <s v="user603@example.com"/>
    <s v="+16408758447"/>
    <n v="53"/>
    <s v="Other"/>
    <s v="UK"/>
    <s v="Toronto"/>
    <n v="99438"/>
    <n v="16"/>
    <d v="2023-05-08T00:00:00"/>
    <x v="1"/>
    <n v="10"/>
    <n v="3481"/>
  </r>
  <r>
    <x v="394"/>
    <s v="Name824"/>
    <s v="Surname824"/>
    <s v="user824@example.com"/>
    <s v="+14657126403"/>
    <n v="61"/>
    <s v="Female"/>
    <s v="Australia"/>
    <s v="Mumbai"/>
    <n v="99437"/>
    <n v="85"/>
    <d v="2023-06-26T00:00:00"/>
    <x v="2"/>
    <n v="1"/>
    <n v="6573"/>
  </r>
  <r>
    <x v="395"/>
    <s v="Name725"/>
    <s v="Surname725"/>
    <s v="user725@example.com"/>
    <s v="+11934066365"/>
    <n v="49"/>
    <s v="Other"/>
    <s v="USA"/>
    <s v="London"/>
    <n v="99346"/>
    <n v="64"/>
    <d v="2023-02-16T00:00:00"/>
    <x v="1"/>
    <n v="1"/>
    <n v="3517"/>
  </r>
  <r>
    <x v="396"/>
    <s v="Name337"/>
    <s v="Surname337"/>
    <s v="user337@example.com"/>
    <s v="+14760315639"/>
    <n v="63"/>
    <s v="Male"/>
    <s v="Canada"/>
    <s v="Sydney"/>
    <n v="99281"/>
    <n v="11"/>
    <d v="2023-12-02T00:00:00"/>
    <x v="1"/>
    <n v="9"/>
    <n v="2431"/>
  </r>
  <r>
    <x v="397"/>
    <s v="Name699"/>
    <s v="Surname699"/>
    <s v="user699@example.com"/>
    <s v="+18578719154"/>
    <n v="36"/>
    <s v="Other"/>
    <s v="Australia"/>
    <s v="Sydney"/>
    <n v="99079"/>
    <n v="6"/>
    <d v="2023-11-20T00:00:00"/>
    <x v="2"/>
    <n v="4"/>
    <n v="3341"/>
  </r>
  <r>
    <x v="398"/>
    <s v="Name580"/>
    <s v="Surname580"/>
    <s v="user580@example.com"/>
    <s v="+13377490787"/>
    <n v="19"/>
    <s v="Female"/>
    <s v="India"/>
    <s v="Toronto"/>
    <n v="99031"/>
    <n v="60"/>
    <d v="2023-05-12T00:00:00"/>
    <x v="2"/>
    <n v="2"/>
    <n v="6513"/>
  </r>
  <r>
    <x v="399"/>
    <s v="Name214"/>
    <s v="Surname214"/>
    <s v="user214@example.com"/>
    <s v="+13912369421"/>
    <n v="58"/>
    <s v="Female"/>
    <s v="UK"/>
    <s v="Mumbai"/>
    <n v="98900"/>
    <n v="4"/>
    <d v="2023-05-19T00:00:00"/>
    <x v="0"/>
    <n v="6"/>
    <n v="1549"/>
  </r>
  <r>
    <x v="400"/>
    <s v="Name225"/>
    <s v="Surname225"/>
    <s v="user225@example.com"/>
    <s v="+14614152904"/>
    <n v="47"/>
    <s v="Other"/>
    <s v="India"/>
    <s v="London"/>
    <n v="98749"/>
    <n v="100"/>
    <d v="2023-01-10T00:00:00"/>
    <x v="1"/>
    <n v="7"/>
    <n v="2816"/>
  </r>
  <r>
    <x v="401"/>
    <s v="Name262"/>
    <s v="Surname262"/>
    <s v="user262@example.com"/>
    <s v="+14375903324"/>
    <n v="63"/>
    <s v="Male"/>
    <s v="USA"/>
    <s v="Sydney"/>
    <n v="98478"/>
    <n v="70"/>
    <d v="2023-12-24T00:00:00"/>
    <x v="1"/>
    <n v="7"/>
    <n v="6775"/>
  </r>
  <r>
    <x v="402"/>
    <s v="Name373"/>
    <s v="Surname373"/>
    <s v="user373@example.com"/>
    <s v="+15539865100"/>
    <n v="34"/>
    <s v="Male"/>
    <s v="Australia"/>
    <s v="New York"/>
    <n v="98370"/>
    <n v="57"/>
    <d v="2023-01-05T00:00:00"/>
    <x v="0"/>
    <n v="8"/>
    <n v="2936"/>
  </r>
  <r>
    <x v="403"/>
    <s v="Name521"/>
    <s v="Surname521"/>
    <s v="user521@example.com"/>
    <s v="+19152157806"/>
    <n v="70"/>
    <s v="Other"/>
    <s v="Canada"/>
    <s v="London"/>
    <n v="98254"/>
    <n v="16"/>
    <d v="2023-08-22T00:00:00"/>
    <x v="2"/>
    <n v="9"/>
    <n v="1458"/>
  </r>
  <r>
    <x v="404"/>
    <s v="Name904"/>
    <s v="Surname904"/>
    <s v="user904@example.com"/>
    <s v="+11996472639"/>
    <n v="60"/>
    <s v="Female"/>
    <s v="UK"/>
    <s v="London"/>
    <n v="98215"/>
    <n v="53"/>
    <d v="2023-10-23T00:00:00"/>
    <x v="1"/>
    <n v="10"/>
    <n v="4304"/>
  </r>
  <r>
    <x v="405"/>
    <s v="Name462"/>
    <s v="Surname462"/>
    <s v="user462@example.com"/>
    <s v="+11955208397"/>
    <n v="70"/>
    <s v="Other"/>
    <s v="UK"/>
    <s v="London"/>
    <n v="98178"/>
    <n v="20"/>
    <d v="2023-04-20T00:00:00"/>
    <x v="0"/>
    <n v="1"/>
    <n v="1187"/>
  </r>
  <r>
    <x v="406"/>
    <s v="Name56"/>
    <s v="Surname56"/>
    <s v="user56@example.com"/>
    <s v="+19213766011"/>
    <n v="18"/>
    <s v="Female"/>
    <s v="UK"/>
    <s v="Sydney"/>
    <n v="97971"/>
    <n v="49"/>
    <d v="2023-10-07T00:00:00"/>
    <x v="1"/>
    <n v="9"/>
    <n v="7205"/>
  </r>
  <r>
    <x v="407"/>
    <s v="Name59"/>
    <s v="Surname59"/>
    <s v="user59@example.com"/>
    <s v="+14137233516"/>
    <n v="66"/>
    <s v="Male"/>
    <s v="Canada"/>
    <s v="New York"/>
    <n v="97891"/>
    <n v="61"/>
    <d v="2023-08-18T00:00:00"/>
    <x v="0"/>
    <n v="5"/>
    <n v="1950"/>
  </r>
  <r>
    <x v="408"/>
    <s v="Name459"/>
    <s v="Surname459"/>
    <s v="user459@example.com"/>
    <s v="+13950053574"/>
    <n v="32"/>
    <s v="Female"/>
    <s v="Australia"/>
    <s v="Sydney"/>
    <n v="97617"/>
    <n v="10"/>
    <d v="2023-10-08T00:00:00"/>
    <x v="0"/>
    <n v="9"/>
    <n v="3960"/>
  </r>
  <r>
    <x v="409"/>
    <s v="Name102"/>
    <s v="Surname102"/>
    <s v="user102@example.com"/>
    <s v="+11173390611"/>
    <n v="45"/>
    <s v="Female"/>
    <s v="USA"/>
    <s v="Mumbai"/>
    <n v="97615"/>
    <n v="59"/>
    <d v="2023-05-17T00:00:00"/>
    <x v="0"/>
    <n v="7"/>
    <n v="5575"/>
  </r>
  <r>
    <x v="410"/>
    <s v="Name709"/>
    <s v="Surname709"/>
    <s v="user709@example.com"/>
    <s v="+11578618733"/>
    <n v="43"/>
    <s v="Male"/>
    <s v="Australia"/>
    <s v="London"/>
    <n v="97604"/>
    <n v="91"/>
    <d v="2023-09-11T00:00:00"/>
    <x v="0"/>
    <n v="4"/>
    <n v="5849"/>
  </r>
  <r>
    <x v="411"/>
    <s v="Name26"/>
    <s v="Surname26"/>
    <s v="user26@example.com"/>
    <s v="+17655419818"/>
    <n v="21"/>
    <s v="Other"/>
    <s v="Canada"/>
    <s v="New York"/>
    <n v="97579"/>
    <n v="36"/>
    <d v="2023-06-14T00:00:00"/>
    <x v="1"/>
    <n v="7"/>
    <n v="4528"/>
  </r>
  <r>
    <x v="412"/>
    <s v="Name739"/>
    <s v="Surname739"/>
    <s v="user739@example.com"/>
    <s v="+13668752215"/>
    <n v="61"/>
    <s v="Female"/>
    <s v="USA"/>
    <s v="Sydney"/>
    <n v="97565"/>
    <n v="14"/>
    <d v="2023-03-26T00:00:00"/>
    <x v="1"/>
    <n v="8"/>
    <n v="9665"/>
  </r>
  <r>
    <x v="413"/>
    <s v="Name879"/>
    <s v="Surname879"/>
    <s v="user879@example.com"/>
    <s v="+12383843319"/>
    <n v="64"/>
    <s v="Male"/>
    <s v="USA"/>
    <s v="New York"/>
    <n v="97505"/>
    <n v="35"/>
    <d v="2023-04-12T00:00:00"/>
    <x v="0"/>
    <n v="6"/>
    <n v="2886"/>
  </r>
  <r>
    <x v="414"/>
    <s v="Name936"/>
    <s v="Surname936"/>
    <s v="user936@example.com"/>
    <s v="+14808144645"/>
    <n v="59"/>
    <s v="Female"/>
    <s v="UK"/>
    <s v="Sydney"/>
    <n v="97463"/>
    <n v="77"/>
    <d v="2023-04-25T00:00:00"/>
    <x v="2"/>
    <n v="5"/>
    <n v="9083"/>
  </r>
  <r>
    <x v="415"/>
    <s v="Name246"/>
    <s v="Surname246"/>
    <s v="user246@example.com"/>
    <s v="+14558228470"/>
    <n v="51"/>
    <s v="Female"/>
    <s v="Canada"/>
    <s v="Toronto"/>
    <n v="96935"/>
    <n v="27"/>
    <d v="2023-09-13T00:00:00"/>
    <x v="0"/>
    <n v="1"/>
    <n v="7554"/>
  </r>
  <r>
    <x v="416"/>
    <s v="Name278"/>
    <s v="Surname278"/>
    <s v="user278@example.com"/>
    <s v="+17505822681"/>
    <n v="50"/>
    <s v="Other"/>
    <s v="USA"/>
    <s v="Toronto"/>
    <n v="96798"/>
    <n v="34"/>
    <d v="2023-04-30T00:00:00"/>
    <x v="1"/>
    <n v="2"/>
    <n v="6118"/>
  </r>
  <r>
    <x v="417"/>
    <s v="Name622"/>
    <s v="Surname622"/>
    <s v="user622@example.com"/>
    <s v="+12109030523"/>
    <n v="64"/>
    <s v="Other"/>
    <s v="India"/>
    <s v="Sydney"/>
    <n v="96791"/>
    <n v="10"/>
    <d v="2023-12-02T00:00:00"/>
    <x v="2"/>
    <n v="5"/>
    <n v="4408"/>
  </r>
  <r>
    <x v="418"/>
    <s v="Name837"/>
    <s v="Surname837"/>
    <s v="user837@example.com"/>
    <s v="+19653471672"/>
    <n v="56"/>
    <s v="Other"/>
    <s v="USA"/>
    <s v="London"/>
    <n v="96784"/>
    <n v="55"/>
    <d v="2023-10-16T00:00:00"/>
    <x v="2"/>
    <n v="4"/>
    <n v="8276"/>
  </r>
  <r>
    <x v="419"/>
    <s v="Name110"/>
    <s v="Surname110"/>
    <s v="user110@example.com"/>
    <s v="+15185934258"/>
    <n v="37"/>
    <s v="Female"/>
    <s v="Australia"/>
    <s v="Toronto"/>
    <n v="96732"/>
    <n v="47"/>
    <d v="2023-09-12T00:00:00"/>
    <x v="1"/>
    <n v="8"/>
    <n v="7202"/>
  </r>
  <r>
    <x v="420"/>
    <s v="Name962"/>
    <s v="Surname962"/>
    <s v="user962@example.com"/>
    <s v="+12355780382"/>
    <n v="43"/>
    <s v="Male"/>
    <s v="UK"/>
    <s v="Mumbai"/>
    <n v="96582"/>
    <n v="83"/>
    <d v="2023-10-16T00:00:00"/>
    <x v="1"/>
    <n v="4"/>
    <n v="6348"/>
  </r>
  <r>
    <x v="421"/>
    <s v="Name714"/>
    <s v="Surname714"/>
    <s v="user714@example.com"/>
    <s v="+14865504582"/>
    <n v="69"/>
    <s v="Other"/>
    <s v="Australia"/>
    <s v="Mumbai"/>
    <n v="96132"/>
    <n v="5"/>
    <d v="2023-11-18T00:00:00"/>
    <x v="0"/>
    <n v="7"/>
    <n v="1085"/>
  </r>
  <r>
    <x v="422"/>
    <s v="Name943"/>
    <s v="Surname943"/>
    <s v="user943@example.com"/>
    <s v="+16743438406"/>
    <n v="64"/>
    <s v="Female"/>
    <s v="Canada"/>
    <s v="Toronto"/>
    <n v="96023"/>
    <n v="9"/>
    <d v="2023-04-27T00:00:00"/>
    <x v="2"/>
    <n v="9"/>
    <n v="1550"/>
  </r>
  <r>
    <x v="423"/>
    <s v="Name926"/>
    <s v="Surname926"/>
    <s v="user926@example.com"/>
    <s v="+15258491523"/>
    <n v="41"/>
    <s v="Male"/>
    <s v="USA"/>
    <s v="London"/>
    <n v="95937"/>
    <n v="94"/>
    <d v="2023-07-08T00:00:00"/>
    <x v="2"/>
    <n v="2"/>
    <n v="7929"/>
  </r>
  <r>
    <x v="424"/>
    <s v="Name123"/>
    <s v="Surname123"/>
    <s v="user123@example.com"/>
    <s v="+14535836404"/>
    <n v="59"/>
    <s v="Female"/>
    <s v="UK"/>
    <s v="Sydney"/>
    <n v="95935"/>
    <n v="18"/>
    <d v="2023-08-10T00:00:00"/>
    <x v="2"/>
    <n v="10"/>
    <n v="7215"/>
  </r>
  <r>
    <x v="425"/>
    <s v="Name165"/>
    <s v="Surname165"/>
    <s v="user165@example.com"/>
    <s v="+15250375764"/>
    <n v="57"/>
    <s v="Female"/>
    <s v="India"/>
    <s v="London"/>
    <n v="95742"/>
    <n v="19"/>
    <d v="2023-03-12T00:00:00"/>
    <x v="2"/>
    <n v="7"/>
    <n v="5496"/>
  </r>
  <r>
    <x v="426"/>
    <s v="Name57"/>
    <s v="Surname57"/>
    <s v="user57@example.com"/>
    <s v="+11026950428"/>
    <n v="18"/>
    <s v="Female"/>
    <s v="Australia"/>
    <s v="Toronto"/>
    <n v="95497"/>
    <n v="30"/>
    <d v="2023-04-19T00:00:00"/>
    <x v="1"/>
    <n v="5"/>
    <n v="9531"/>
  </r>
  <r>
    <x v="427"/>
    <s v="Name719"/>
    <s v="Surname719"/>
    <s v="user719@example.com"/>
    <s v="+19651947411"/>
    <n v="29"/>
    <s v="Female"/>
    <s v="India"/>
    <s v="Mumbai"/>
    <n v="95328"/>
    <n v="46"/>
    <d v="2023-02-24T00:00:00"/>
    <x v="1"/>
    <n v="3"/>
    <n v="1540"/>
  </r>
  <r>
    <x v="428"/>
    <s v="Name191"/>
    <s v="Surname191"/>
    <s v="user191@example.com"/>
    <s v="+14824971776"/>
    <n v="58"/>
    <s v="Other"/>
    <s v="Australia"/>
    <s v="Toronto"/>
    <n v="95277"/>
    <n v="34"/>
    <d v="2023-10-02T00:00:00"/>
    <x v="2"/>
    <n v="4"/>
    <n v="6190"/>
  </r>
  <r>
    <x v="429"/>
    <s v="Name850"/>
    <s v="Surname850"/>
    <s v="user850@example.com"/>
    <s v="+12439650913"/>
    <n v="31"/>
    <s v="Male"/>
    <s v="Canada"/>
    <s v="Sydney"/>
    <n v="95226"/>
    <n v="69"/>
    <d v="2023-08-24T00:00:00"/>
    <x v="2"/>
    <n v="9"/>
    <n v="9212"/>
  </r>
  <r>
    <x v="430"/>
    <s v="Name35"/>
    <s v="Surname35"/>
    <s v="user35@example.com"/>
    <s v="+19120061758"/>
    <n v="65"/>
    <s v="Female"/>
    <s v="USA"/>
    <s v="London"/>
    <n v="95152"/>
    <n v="37"/>
    <d v="2023-09-26T00:00:00"/>
    <x v="1"/>
    <n v="10"/>
    <n v="5415"/>
  </r>
  <r>
    <x v="431"/>
    <s v="Name607"/>
    <s v="Surname607"/>
    <s v="user607@example.com"/>
    <s v="+16632748593"/>
    <n v="59"/>
    <s v="Other"/>
    <s v="Canada"/>
    <s v="New York"/>
    <n v="95131"/>
    <n v="24"/>
    <d v="2023-09-13T00:00:00"/>
    <x v="2"/>
    <n v="7"/>
    <n v="9103"/>
  </r>
  <r>
    <x v="432"/>
    <s v="Name475"/>
    <s v="Surname475"/>
    <s v="user475@example.com"/>
    <s v="+14354237902"/>
    <n v="47"/>
    <s v="Female"/>
    <s v="Canada"/>
    <s v="London"/>
    <n v="95012"/>
    <n v="53"/>
    <d v="2023-06-03T00:00:00"/>
    <x v="1"/>
    <n v="1"/>
    <n v="1124"/>
  </r>
  <r>
    <x v="433"/>
    <s v="Name573"/>
    <s v="Surname573"/>
    <s v="user573@example.com"/>
    <s v="+17837827067"/>
    <n v="23"/>
    <s v="Male"/>
    <s v="Australia"/>
    <s v="New York"/>
    <n v="94993"/>
    <n v="25"/>
    <d v="2023-04-08T00:00:00"/>
    <x v="0"/>
    <n v="3"/>
    <n v="7900"/>
  </r>
  <r>
    <x v="434"/>
    <s v="Name617"/>
    <s v="Surname617"/>
    <s v="user617@example.com"/>
    <s v="+15182356849"/>
    <n v="42"/>
    <s v="Male"/>
    <s v="UK"/>
    <s v="London"/>
    <n v="94942"/>
    <n v="17"/>
    <d v="2023-05-23T00:00:00"/>
    <x v="2"/>
    <n v="1"/>
    <n v="385"/>
  </r>
  <r>
    <x v="435"/>
    <s v="Name958"/>
    <s v="Surname958"/>
    <s v="user958@example.com"/>
    <s v="+11993015065"/>
    <n v="66"/>
    <s v="Other"/>
    <s v="India"/>
    <s v="Mumbai"/>
    <n v="94922"/>
    <n v="13"/>
    <d v="2023-07-02T00:00:00"/>
    <x v="2"/>
    <n v="4"/>
    <n v="8508"/>
  </r>
  <r>
    <x v="436"/>
    <s v="Name592"/>
    <s v="Surname592"/>
    <s v="user592@example.com"/>
    <s v="+18586366528"/>
    <n v="47"/>
    <s v="Male"/>
    <s v="Canada"/>
    <s v="New York"/>
    <n v="94863"/>
    <n v="25"/>
    <d v="2023-05-24T00:00:00"/>
    <x v="2"/>
    <n v="5"/>
    <n v="7950"/>
  </r>
  <r>
    <x v="437"/>
    <s v="Name304"/>
    <s v="Surname304"/>
    <s v="user304@example.com"/>
    <s v="+12962350544"/>
    <n v="40"/>
    <s v="Male"/>
    <s v="Australia"/>
    <s v="Toronto"/>
    <n v="94773"/>
    <n v="17"/>
    <d v="2023-03-22T00:00:00"/>
    <x v="2"/>
    <n v="10"/>
    <n v="6673"/>
  </r>
  <r>
    <x v="438"/>
    <s v="Name823"/>
    <s v="Surname823"/>
    <s v="user823@example.com"/>
    <s v="+14497586478"/>
    <n v="41"/>
    <s v="Female"/>
    <s v="Australia"/>
    <s v="Toronto"/>
    <n v="94703"/>
    <n v="86"/>
    <d v="2023-01-01T00:00:00"/>
    <x v="2"/>
    <n v="10"/>
    <n v="9739"/>
  </r>
  <r>
    <x v="439"/>
    <s v="Name982"/>
    <s v="Surname982"/>
    <s v="user982@example.com"/>
    <s v="+13599035255"/>
    <n v="18"/>
    <s v="Male"/>
    <s v="Australia"/>
    <s v="Toronto"/>
    <n v="94655"/>
    <n v="29"/>
    <d v="2023-11-22T00:00:00"/>
    <x v="0"/>
    <n v="5"/>
    <n v="7716"/>
  </r>
  <r>
    <x v="440"/>
    <s v="Name631"/>
    <s v="Surname631"/>
    <s v="user631@example.com"/>
    <s v="+11602692571"/>
    <n v="57"/>
    <s v="Male"/>
    <s v="Canada"/>
    <s v="New York"/>
    <n v="94596"/>
    <n v="28"/>
    <d v="2023-09-17T00:00:00"/>
    <x v="1"/>
    <n v="10"/>
    <n v="8351"/>
  </r>
  <r>
    <x v="441"/>
    <s v="Name268"/>
    <s v="Surname268"/>
    <s v="user268@example.com"/>
    <s v="+12171309655"/>
    <n v="34"/>
    <s v="Male"/>
    <s v="USA"/>
    <s v="Mumbai"/>
    <n v="94476"/>
    <n v="23"/>
    <d v="2023-03-09T00:00:00"/>
    <x v="0"/>
    <n v="7"/>
    <n v="2658"/>
  </r>
  <r>
    <x v="442"/>
    <s v="Name171"/>
    <s v="Surname171"/>
    <s v="user171@example.com"/>
    <s v="+12400533350"/>
    <n v="58"/>
    <s v="Other"/>
    <s v="USA"/>
    <s v="London"/>
    <n v="94363"/>
    <n v="44"/>
    <d v="2023-09-02T00:00:00"/>
    <x v="1"/>
    <n v="10"/>
    <n v="2991"/>
  </r>
  <r>
    <x v="443"/>
    <s v="Name86"/>
    <s v="Surname86"/>
    <s v="user86@example.com"/>
    <s v="+15417980446"/>
    <n v="59"/>
    <s v="Female"/>
    <s v="UK"/>
    <s v="New York"/>
    <n v="94118"/>
    <n v="99"/>
    <d v="2023-09-09T00:00:00"/>
    <x v="2"/>
    <n v="10"/>
    <n v="9618"/>
  </r>
  <r>
    <x v="444"/>
    <s v="Name765"/>
    <s v="Surname765"/>
    <s v="user765@example.com"/>
    <s v="+19002915437"/>
    <n v="56"/>
    <s v="Other"/>
    <s v="USA"/>
    <s v="Mumbai"/>
    <n v="94047"/>
    <n v="57"/>
    <d v="2023-07-30T00:00:00"/>
    <x v="2"/>
    <n v="10"/>
    <n v="4455"/>
  </r>
  <r>
    <x v="445"/>
    <s v="Name518"/>
    <s v="Surname518"/>
    <s v="user518@example.com"/>
    <s v="+17869594037"/>
    <n v="30"/>
    <s v="Female"/>
    <s v="Australia"/>
    <s v="Mumbai"/>
    <n v="93995"/>
    <n v="74"/>
    <d v="2023-04-09T00:00:00"/>
    <x v="0"/>
    <n v="1"/>
    <n v="5738"/>
  </r>
  <r>
    <x v="446"/>
    <s v="Name129"/>
    <s v="Surname129"/>
    <s v="user129@example.com"/>
    <s v="+19463453131"/>
    <n v="31"/>
    <s v="Other"/>
    <s v="USA"/>
    <s v="Sydney"/>
    <n v="93783"/>
    <n v="51"/>
    <d v="2023-05-09T00:00:00"/>
    <x v="0"/>
    <n v="6"/>
    <n v="8036"/>
  </r>
  <r>
    <x v="447"/>
    <s v="Name443"/>
    <s v="Surname443"/>
    <s v="user443@example.com"/>
    <s v="+11285706391"/>
    <n v="21"/>
    <s v="Other"/>
    <s v="Australia"/>
    <s v="Mumbai"/>
    <n v="93776"/>
    <n v="85"/>
    <d v="2023-11-15T00:00:00"/>
    <x v="0"/>
    <n v="8"/>
    <n v="8817"/>
  </r>
  <r>
    <x v="448"/>
    <s v="Name494"/>
    <s v="Surname494"/>
    <s v="user494@example.com"/>
    <s v="+16416135619"/>
    <n v="58"/>
    <s v="Male"/>
    <s v="India"/>
    <s v="New York"/>
    <n v="93381"/>
    <n v="76"/>
    <d v="2023-07-28T00:00:00"/>
    <x v="2"/>
    <n v="3"/>
    <n v="8078"/>
  </r>
  <r>
    <x v="449"/>
    <s v="Name156"/>
    <s v="Surname156"/>
    <s v="user156@example.com"/>
    <s v="+13163095380"/>
    <n v="45"/>
    <s v="Female"/>
    <s v="Australia"/>
    <s v="Toronto"/>
    <n v="93253"/>
    <n v="5"/>
    <d v="2023-02-25T00:00:00"/>
    <x v="2"/>
    <n v="2"/>
    <n v="9572"/>
  </r>
  <r>
    <x v="450"/>
    <s v="Name276"/>
    <s v="Surname276"/>
    <s v="user276@example.com"/>
    <s v="+13091807726"/>
    <n v="31"/>
    <s v="Other"/>
    <s v="India"/>
    <s v="Toronto"/>
    <n v="93209"/>
    <n v="17"/>
    <d v="2023-11-04T00:00:00"/>
    <x v="1"/>
    <n v="6"/>
    <n v="7218"/>
  </r>
  <r>
    <x v="451"/>
    <s v="Name585"/>
    <s v="Surname585"/>
    <s v="user585@example.com"/>
    <s v="+12993995093"/>
    <n v="28"/>
    <s v="Female"/>
    <s v="Canada"/>
    <s v="Toronto"/>
    <n v="93059"/>
    <n v="43"/>
    <d v="2023-11-18T00:00:00"/>
    <x v="2"/>
    <n v="2"/>
    <n v="1915"/>
  </r>
  <r>
    <x v="452"/>
    <s v="Name330"/>
    <s v="Surname330"/>
    <s v="user330@example.com"/>
    <s v="+15871671336"/>
    <n v="50"/>
    <s v="Female"/>
    <s v="UK"/>
    <s v="London"/>
    <n v="93039"/>
    <n v="15"/>
    <d v="2023-09-10T00:00:00"/>
    <x v="0"/>
    <n v="3"/>
    <n v="6935"/>
  </r>
  <r>
    <x v="453"/>
    <s v="Name916"/>
    <s v="Surname916"/>
    <s v="user916@example.com"/>
    <s v="+17750515690"/>
    <n v="41"/>
    <s v="Male"/>
    <s v="Australia"/>
    <s v="Toronto"/>
    <n v="93019"/>
    <n v="2"/>
    <d v="2023-01-09T00:00:00"/>
    <x v="2"/>
    <n v="6"/>
    <n v="8903"/>
  </r>
  <r>
    <x v="454"/>
    <s v="Name469"/>
    <s v="Surname469"/>
    <s v="user469@example.com"/>
    <s v="+15035456309"/>
    <n v="65"/>
    <s v="Female"/>
    <s v="India"/>
    <s v="London"/>
    <n v="92878"/>
    <n v="58"/>
    <d v="2023-06-25T00:00:00"/>
    <x v="2"/>
    <n v="7"/>
    <n v="2336"/>
  </r>
  <r>
    <x v="455"/>
    <s v="Name316"/>
    <s v="Surname316"/>
    <s v="user316@example.com"/>
    <s v="+17578194668"/>
    <n v="35"/>
    <s v="Male"/>
    <s v="Canada"/>
    <s v="London"/>
    <n v="92786"/>
    <n v="28"/>
    <d v="2023-01-16T00:00:00"/>
    <x v="2"/>
    <n v="10"/>
    <n v="3490"/>
  </r>
  <r>
    <x v="456"/>
    <s v="Name308"/>
    <s v="Surname308"/>
    <s v="user308@example.com"/>
    <s v="+17103013497"/>
    <n v="24"/>
    <s v="Female"/>
    <s v="UK"/>
    <s v="Sydney"/>
    <n v="92554"/>
    <n v="69"/>
    <d v="2023-05-23T00:00:00"/>
    <x v="2"/>
    <n v="4"/>
    <n v="4067"/>
  </r>
  <r>
    <x v="457"/>
    <s v="Name845"/>
    <s v="Surname845"/>
    <s v="user845@example.com"/>
    <s v="+19422531305"/>
    <n v="59"/>
    <s v="Other"/>
    <s v="UK"/>
    <s v="Toronto"/>
    <n v="92399"/>
    <n v="80"/>
    <d v="2023-04-17T00:00:00"/>
    <x v="2"/>
    <n v="9"/>
    <n v="4770"/>
  </r>
  <r>
    <x v="458"/>
    <s v="Name293"/>
    <s v="Surname293"/>
    <s v="user293@example.com"/>
    <s v="+11538962889"/>
    <n v="63"/>
    <s v="Female"/>
    <s v="India"/>
    <s v="Mumbai"/>
    <n v="92212"/>
    <n v="24"/>
    <d v="2023-04-28T00:00:00"/>
    <x v="0"/>
    <n v="10"/>
    <n v="3843"/>
  </r>
  <r>
    <x v="459"/>
    <s v="Name403"/>
    <s v="Surname403"/>
    <s v="user403@example.com"/>
    <s v="+14145142596"/>
    <n v="22"/>
    <s v="Other"/>
    <s v="India"/>
    <s v="London"/>
    <n v="92212"/>
    <n v="93"/>
    <d v="2023-07-28T00:00:00"/>
    <x v="0"/>
    <n v="1"/>
    <n v="1233"/>
  </r>
  <r>
    <x v="460"/>
    <s v="Name27"/>
    <s v="Surname27"/>
    <s v="user27@example.com"/>
    <s v="+19251288723"/>
    <n v="52"/>
    <s v="Male"/>
    <s v="UK"/>
    <s v="London"/>
    <n v="92177"/>
    <n v="51"/>
    <d v="2023-05-25T00:00:00"/>
    <x v="1"/>
    <n v="9"/>
    <n v="9678"/>
  </r>
  <r>
    <x v="461"/>
    <s v="Name759"/>
    <s v="Surname759"/>
    <s v="user759@example.com"/>
    <s v="+18205586188"/>
    <n v="56"/>
    <s v="Female"/>
    <s v="UK"/>
    <s v="New York"/>
    <n v="92064"/>
    <n v="85"/>
    <d v="2023-06-09T00:00:00"/>
    <x v="1"/>
    <n v="2"/>
    <n v="9778"/>
  </r>
  <r>
    <x v="462"/>
    <s v="Name948"/>
    <s v="Surname948"/>
    <s v="user948@example.com"/>
    <s v="+14471541114"/>
    <n v="35"/>
    <s v="Female"/>
    <s v="USA"/>
    <s v="Sydney"/>
    <n v="91710"/>
    <n v="23"/>
    <d v="2023-01-20T00:00:00"/>
    <x v="2"/>
    <n v="2"/>
    <n v="1251"/>
  </r>
  <r>
    <x v="463"/>
    <s v="Name553"/>
    <s v="Surname553"/>
    <s v="user553@example.com"/>
    <s v="+15847527314"/>
    <n v="53"/>
    <s v="Female"/>
    <s v="Australia"/>
    <s v="Toronto"/>
    <n v="91572"/>
    <n v="83"/>
    <d v="2023-06-08T00:00:00"/>
    <x v="1"/>
    <n v="2"/>
    <n v="7890"/>
  </r>
  <r>
    <x v="464"/>
    <s v="Name289"/>
    <s v="Surname289"/>
    <s v="user289@example.com"/>
    <s v="+16464777102"/>
    <n v="30"/>
    <s v="Female"/>
    <s v="UK"/>
    <s v="Toronto"/>
    <n v="91424"/>
    <n v="10"/>
    <d v="2023-04-06T00:00:00"/>
    <x v="1"/>
    <n v="10"/>
    <n v="7183"/>
  </r>
  <r>
    <x v="465"/>
    <s v="Name839"/>
    <s v="Surname839"/>
    <s v="user839@example.com"/>
    <s v="+16473681913"/>
    <n v="50"/>
    <s v="Male"/>
    <s v="UK"/>
    <s v="Toronto"/>
    <n v="91349"/>
    <n v="16"/>
    <d v="2023-01-22T00:00:00"/>
    <x v="2"/>
    <n v="3"/>
    <n v="7175"/>
  </r>
  <r>
    <x v="466"/>
    <s v="Name779"/>
    <s v="Surname779"/>
    <s v="user779@example.com"/>
    <s v="+11846919728"/>
    <n v="68"/>
    <s v="Male"/>
    <s v="India"/>
    <s v="Toronto"/>
    <n v="91112"/>
    <n v="23"/>
    <d v="2023-04-08T00:00:00"/>
    <x v="1"/>
    <n v="10"/>
    <n v="8577"/>
  </r>
  <r>
    <x v="467"/>
    <s v="Name281"/>
    <s v="Surname281"/>
    <s v="user281@example.com"/>
    <s v="+11300159926"/>
    <n v="68"/>
    <s v="Male"/>
    <s v="USA"/>
    <s v="London"/>
    <n v="91092"/>
    <n v="30"/>
    <d v="2023-05-04T00:00:00"/>
    <x v="1"/>
    <n v="9"/>
    <n v="2599"/>
  </r>
  <r>
    <x v="468"/>
    <s v="Name495"/>
    <s v="Surname495"/>
    <s v="user495@example.com"/>
    <s v="+19840390554"/>
    <n v="65"/>
    <s v="Male"/>
    <s v="Australia"/>
    <s v="Sydney"/>
    <n v="91039"/>
    <n v="89"/>
    <d v="2023-04-29T00:00:00"/>
    <x v="1"/>
    <n v="6"/>
    <n v="6330"/>
  </r>
  <r>
    <x v="469"/>
    <s v="Name582"/>
    <s v="Surname582"/>
    <s v="user582@example.com"/>
    <s v="+11687767503"/>
    <n v="24"/>
    <s v="Other"/>
    <s v="India"/>
    <s v="London"/>
    <n v="90537"/>
    <n v="43"/>
    <d v="2023-06-14T00:00:00"/>
    <x v="2"/>
    <n v="9"/>
    <n v="5917"/>
  </r>
  <r>
    <x v="470"/>
    <s v="Name457"/>
    <s v="Surname457"/>
    <s v="user457@example.com"/>
    <s v="+19010250397"/>
    <n v="28"/>
    <s v="Other"/>
    <s v="Australia"/>
    <s v="Toronto"/>
    <n v="90492"/>
    <n v="5"/>
    <d v="2023-11-10T00:00:00"/>
    <x v="2"/>
    <n v="2"/>
    <n v="7206"/>
  </r>
  <r>
    <x v="471"/>
    <s v="Name593"/>
    <s v="Surname593"/>
    <s v="user593@example.com"/>
    <s v="+17929270295"/>
    <n v="58"/>
    <s v="Female"/>
    <s v="India"/>
    <s v="Mumbai"/>
    <n v="90281"/>
    <n v="89"/>
    <d v="2023-10-03T00:00:00"/>
    <x v="2"/>
    <n v="10"/>
    <n v="3787"/>
  </r>
  <r>
    <x v="472"/>
    <s v="Name814"/>
    <s v="Surname814"/>
    <s v="user814@example.com"/>
    <s v="+12292885660"/>
    <n v="50"/>
    <s v="Female"/>
    <s v="Australia"/>
    <s v="Mumbai"/>
    <n v="90266"/>
    <n v="18"/>
    <d v="2023-05-15T00:00:00"/>
    <x v="2"/>
    <n v="7"/>
    <n v="1560"/>
  </r>
  <r>
    <x v="473"/>
    <s v="Name483"/>
    <s v="Surname483"/>
    <s v="user483@example.com"/>
    <s v="+12749897506"/>
    <n v="18"/>
    <s v="Other"/>
    <s v="Australia"/>
    <s v="London"/>
    <n v="90112"/>
    <n v="9"/>
    <d v="2023-08-22T00:00:00"/>
    <x v="1"/>
    <n v="10"/>
    <n v="140"/>
  </r>
  <r>
    <x v="474"/>
    <s v="Name513"/>
    <s v="Surname513"/>
    <s v="user513@example.com"/>
    <s v="+14919297949"/>
    <n v="18"/>
    <s v="Female"/>
    <s v="India"/>
    <s v="London"/>
    <n v="89945"/>
    <n v="77"/>
    <d v="2023-12-28T00:00:00"/>
    <x v="2"/>
    <n v="9"/>
    <n v="9872"/>
  </r>
  <r>
    <x v="475"/>
    <s v="Name153"/>
    <s v="Surname153"/>
    <s v="user153@example.com"/>
    <s v="+13346579779"/>
    <n v="53"/>
    <s v="Other"/>
    <s v="Canada"/>
    <s v="Mumbai"/>
    <n v="89673"/>
    <n v="36"/>
    <d v="2023-02-03T00:00:00"/>
    <x v="1"/>
    <n v="10"/>
    <n v="3606"/>
  </r>
  <r>
    <x v="476"/>
    <s v="Name884"/>
    <s v="Surname884"/>
    <s v="user884@example.com"/>
    <s v="+16085063278"/>
    <n v="24"/>
    <s v="Other"/>
    <s v="India"/>
    <s v="New York"/>
    <n v="89582"/>
    <n v="13"/>
    <d v="2023-02-12T00:00:00"/>
    <x v="1"/>
    <n v="9"/>
    <n v="5224"/>
  </r>
  <r>
    <x v="477"/>
    <s v="Name933"/>
    <s v="Surname933"/>
    <s v="user933@example.com"/>
    <s v="+19100048467"/>
    <n v="35"/>
    <s v="Female"/>
    <s v="Canada"/>
    <s v="Mumbai"/>
    <n v="89521"/>
    <n v="57"/>
    <d v="2023-04-24T00:00:00"/>
    <x v="2"/>
    <n v="8"/>
    <n v="1601"/>
  </r>
  <r>
    <x v="478"/>
    <s v="Name401"/>
    <s v="Surname401"/>
    <s v="user401@example.com"/>
    <s v="+18786904867"/>
    <n v="31"/>
    <s v="Male"/>
    <s v="USA"/>
    <s v="London"/>
    <n v="89435"/>
    <n v="11"/>
    <d v="2023-08-06T00:00:00"/>
    <x v="1"/>
    <n v="1"/>
    <n v="8822"/>
  </r>
  <r>
    <x v="479"/>
    <s v="Name405"/>
    <s v="Surname405"/>
    <s v="user405@example.com"/>
    <s v="+12179832964"/>
    <n v="69"/>
    <s v="Female"/>
    <s v="India"/>
    <s v="Toronto"/>
    <n v="89384"/>
    <n v="84"/>
    <d v="2023-03-25T00:00:00"/>
    <x v="2"/>
    <n v="7"/>
    <n v="3712"/>
  </r>
  <r>
    <x v="480"/>
    <s v="Name343"/>
    <s v="Surname343"/>
    <s v="user343@example.com"/>
    <s v="+16014167777"/>
    <n v="64"/>
    <s v="Male"/>
    <s v="USA"/>
    <s v="New York"/>
    <n v="89133"/>
    <n v="55"/>
    <d v="2023-01-19T00:00:00"/>
    <x v="2"/>
    <n v="2"/>
    <n v="1598"/>
  </r>
  <r>
    <x v="481"/>
    <s v="Name799"/>
    <s v="Surname799"/>
    <s v="user799@example.com"/>
    <s v="+15524349868"/>
    <n v="32"/>
    <s v="Other"/>
    <s v="UK"/>
    <s v="Sydney"/>
    <n v="89121"/>
    <n v="75"/>
    <d v="2023-11-02T00:00:00"/>
    <x v="2"/>
    <n v="3"/>
    <n v="7557"/>
  </r>
  <r>
    <x v="482"/>
    <s v="Name446"/>
    <s v="Surname446"/>
    <s v="user446@example.com"/>
    <s v="+12155716199"/>
    <n v="63"/>
    <s v="Female"/>
    <s v="USA"/>
    <s v="New York"/>
    <n v="88863"/>
    <n v="49"/>
    <d v="2023-03-08T00:00:00"/>
    <x v="0"/>
    <n v="8"/>
    <n v="8044"/>
  </r>
  <r>
    <x v="483"/>
    <s v="Name130"/>
    <s v="Surname130"/>
    <s v="user130@example.com"/>
    <s v="+14730190517"/>
    <n v="63"/>
    <s v="Female"/>
    <s v="USA"/>
    <s v="London"/>
    <n v="88815"/>
    <n v="75"/>
    <d v="2023-12-07T00:00:00"/>
    <x v="1"/>
    <n v="9"/>
    <n v="9436"/>
  </r>
  <r>
    <x v="484"/>
    <s v="Name201"/>
    <s v="Surname201"/>
    <s v="user201@example.com"/>
    <s v="+12093207553"/>
    <n v="18"/>
    <s v="Other"/>
    <s v="UK"/>
    <s v="New York"/>
    <n v="88600"/>
    <n v="91"/>
    <d v="2023-12-04T00:00:00"/>
    <x v="2"/>
    <n v="9"/>
    <n v="1939"/>
  </r>
  <r>
    <x v="485"/>
    <s v="Name671"/>
    <s v="Surname671"/>
    <s v="user671@example.com"/>
    <s v="+17707467952"/>
    <n v="40"/>
    <s v="Other"/>
    <s v="Australia"/>
    <s v="New York"/>
    <n v="88349"/>
    <n v="72"/>
    <d v="2023-12-06T00:00:00"/>
    <x v="1"/>
    <n v="8"/>
    <n v="2853"/>
  </r>
  <r>
    <x v="486"/>
    <s v="Name574"/>
    <s v="Surname574"/>
    <s v="user574@example.com"/>
    <s v="+19660371834"/>
    <n v="18"/>
    <s v="Female"/>
    <s v="UK"/>
    <s v="Mumbai"/>
    <n v="88314"/>
    <n v="33"/>
    <d v="2023-08-03T00:00:00"/>
    <x v="0"/>
    <n v="8"/>
    <n v="8161"/>
  </r>
  <r>
    <x v="487"/>
    <s v="Name600"/>
    <s v="Surname600"/>
    <s v="user600@example.com"/>
    <s v="+17931882436"/>
    <n v="39"/>
    <s v="Female"/>
    <s v="Canada"/>
    <s v="London"/>
    <n v="88096"/>
    <n v="79"/>
    <d v="2023-11-08T00:00:00"/>
    <x v="1"/>
    <n v="5"/>
    <n v="6214"/>
  </r>
  <r>
    <x v="488"/>
    <s v="Name961"/>
    <s v="Surname961"/>
    <s v="user961@example.com"/>
    <s v="+17486375387"/>
    <n v="37"/>
    <s v="Female"/>
    <s v="Australia"/>
    <s v="Toronto"/>
    <n v="88085"/>
    <n v="86"/>
    <d v="2023-11-22T00:00:00"/>
    <x v="2"/>
    <n v="8"/>
    <n v="9111"/>
  </r>
  <r>
    <x v="489"/>
    <s v="Name805"/>
    <s v="Surname805"/>
    <s v="user805@example.com"/>
    <s v="+15810181456"/>
    <n v="28"/>
    <s v="Other"/>
    <s v="India"/>
    <s v="New York"/>
    <n v="88072"/>
    <n v="85"/>
    <d v="2023-04-25T00:00:00"/>
    <x v="0"/>
    <n v="7"/>
    <n v="5584"/>
  </r>
  <r>
    <x v="490"/>
    <s v="Name456"/>
    <s v="Surname456"/>
    <s v="user456@example.com"/>
    <s v="+17905452844"/>
    <n v="20"/>
    <s v="Female"/>
    <s v="Australia"/>
    <s v="Mumbai"/>
    <n v="87890"/>
    <n v="11"/>
    <d v="2023-01-26T00:00:00"/>
    <x v="1"/>
    <n v="10"/>
    <n v="8364"/>
  </r>
  <r>
    <x v="491"/>
    <s v="Name743"/>
    <s v="Surname743"/>
    <s v="user743@example.com"/>
    <s v="+13918750871"/>
    <n v="31"/>
    <s v="Male"/>
    <s v="Canada"/>
    <s v="London"/>
    <n v="87593"/>
    <n v="2"/>
    <d v="2023-05-13T00:00:00"/>
    <x v="2"/>
    <n v="5"/>
    <n v="4463"/>
  </r>
  <r>
    <x v="492"/>
    <s v="Name888"/>
    <s v="Surname888"/>
    <s v="user888@example.com"/>
    <s v="+13248526385"/>
    <n v="70"/>
    <s v="Female"/>
    <s v="Australia"/>
    <s v="Sydney"/>
    <n v="87548"/>
    <n v="48"/>
    <d v="2023-06-15T00:00:00"/>
    <x v="1"/>
    <n v="3"/>
    <n v="7542"/>
  </r>
  <r>
    <x v="493"/>
    <s v="Name284"/>
    <s v="Surname284"/>
    <s v="user284@example.com"/>
    <s v="+19383867801"/>
    <n v="19"/>
    <s v="Male"/>
    <s v="USA"/>
    <s v="London"/>
    <n v="87489"/>
    <n v="50"/>
    <d v="2023-01-23T00:00:00"/>
    <x v="0"/>
    <n v="2"/>
    <n v="4455"/>
  </r>
  <r>
    <x v="494"/>
    <s v="Name46"/>
    <s v="Surname46"/>
    <s v="user46@example.com"/>
    <s v="+14823102933"/>
    <n v="60"/>
    <s v="Male"/>
    <s v="Canada"/>
    <s v="Mumbai"/>
    <n v="87407"/>
    <n v="56"/>
    <d v="2023-10-05T00:00:00"/>
    <x v="2"/>
    <n v="7"/>
    <n v="8019"/>
  </r>
  <r>
    <x v="495"/>
    <s v="Name137"/>
    <s v="Surname137"/>
    <s v="user137@example.com"/>
    <s v="+15595372666"/>
    <n v="46"/>
    <s v="Female"/>
    <s v="India"/>
    <s v="New York"/>
    <n v="87248"/>
    <n v="9"/>
    <d v="2023-11-02T00:00:00"/>
    <x v="0"/>
    <n v="4"/>
    <n v="2760"/>
  </r>
  <r>
    <x v="496"/>
    <s v="Name173"/>
    <s v="Surname173"/>
    <s v="user173@example.com"/>
    <s v="+16302085347"/>
    <n v="29"/>
    <s v="Other"/>
    <s v="UK"/>
    <s v="New York"/>
    <n v="87213"/>
    <n v="55"/>
    <d v="2023-07-19T00:00:00"/>
    <x v="1"/>
    <n v="8"/>
    <n v="9374"/>
  </r>
  <r>
    <x v="497"/>
    <s v="Name918"/>
    <s v="Surname918"/>
    <s v="user918@example.com"/>
    <s v="+15507398488"/>
    <n v="25"/>
    <s v="Male"/>
    <s v="India"/>
    <s v="Toronto"/>
    <n v="87129"/>
    <n v="29"/>
    <d v="2023-07-10T00:00:00"/>
    <x v="2"/>
    <n v="8"/>
    <n v="1163"/>
  </r>
  <r>
    <x v="498"/>
    <s v="Name323"/>
    <s v="Surname323"/>
    <s v="user323@example.com"/>
    <s v="+19438021413"/>
    <n v="65"/>
    <s v="Female"/>
    <s v="Canada"/>
    <s v="Mumbai"/>
    <n v="87072"/>
    <n v="54"/>
    <d v="2023-11-25T00:00:00"/>
    <x v="1"/>
    <n v="2"/>
    <n v="302"/>
  </r>
  <r>
    <x v="499"/>
    <s v="Name715"/>
    <s v="Surname715"/>
    <s v="user715@example.com"/>
    <s v="+12183680785"/>
    <n v="28"/>
    <s v="Other"/>
    <s v="India"/>
    <s v="London"/>
    <n v="86970"/>
    <n v="86"/>
    <d v="2023-12-01T00:00:00"/>
    <x v="1"/>
    <n v="1"/>
    <n v="1540"/>
  </r>
  <r>
    <x v="500"/>
    <s v="Name674"/>
    <s v="Surname674"/>
    <s v="user674@example.com"/>
    <s v="+15979708540"/>
    <n v="28"/>
    <s v="Male"/>
    <s v="Australia"/>
    <s v="Mumbai"/>
    <n v="86782"/>
    <n v="94"/>
    <d v="2023-05-19T00:00:00"/>
    <x v="1"/>
    <n v="8"/>
    <n v="7307"/>
  </r>
  <r>
    <x v="501"/>
    <s v="Name292"/>
    <s v="Surname292"/>
    <s v="user292@example.com"/>
    <s v="+17793907768"/>
    <n v="44"/>
    <s v="Other"/>
    <s v="UK"/>
    <s v="New York"/>
    <n v="86494"/>
    <n v="83"/>
    <d v="2023-05-17T00:00:00"/>
    <x v="1"/>
    <n v="3"/>
    <n v="541"/>
  </r>
  <r>
    <x v="502"/>
    <s v="Name922"/>
    <s v="Surname922"/>
    <s v="user922@example.com"/>
    <s v="+11619033967"/>
    <n v="48"/>
    <s v="Female"/>
    <s v="USA"/>
    <s v="London"/>
    <n v="86451"/>
    <n v="72"/>
    <d v="2023-06-15T00:00:00"/>
    <x v="1"/>
    <n v="3"/>
    <n v="8071"/>
  </r>
  <r>
    <x v="503"/>
    <s v="Name711"/>
    <s v="Surname711"/>
    <s v="user711@example.com"/>
    <s v="+15547109632"/>
    <n v="57"/>
    <s v="Other"/>
    <s v="USA"/>
    <s v="London"/>
    <n v="86318"/>
    <n v="84"/>
    <d v="2023-08-02T00:00:00"/>
    <x v="2"/>
    <n v="5"/>
    <n v="3225"/>
  </r>
  <r>
    <x v="504"/>
    <s v="Name333"/>
    <s v="Surname333"/>
    <s v="user333@example.com"/>
    <s v="+14232570037"/>
    <n v="35"/>
    <s v="Male"/>
    <s v="Australia"/>
    <s v="New York"/>
    <n v="86092"/>
    <n v="4"/>
    <d v="2023-07-19T00:00:00"/>
    <x v="1"/>
    <n v="9"/>
    <n v="6022"/>
  </r>
  <r>
    <x v="505"/>
    <s v="Name790"/>
    <s v="Surname790"/>
    <s v="user790@example.com"/>
    <s v="+14809413615"/>
    <n v="67"/>
    <s v="Female"/>
    <s v="India"/>
    <s v="London"/>
    <n v="86062"/>
    <n v="92"/>
    <d v="2023-11-26T00:00:00"/>
    <x v="0"/>
    <n v="5"/>
    <n v="7667"/>
  </r>
  <r>
    <x v="506"/>
    <s v="Name237"/>
    <s v="Surname237"/>
    <s v="user237@example.com"/>
    <s v="+18811487751"/>
    <n v="35"/>
    <s v="Other"/>
    <s v="Canada"/>
    <s v="Mumbai"/>
    <n v="85994"/>
    <n v="20"/>
    <d v="2023-03-11T00:00:00"/>
    <x v="1"/>
    <n v="8"/>
    <n v="1963"/>
  </r>
  <r>
    <x v="507"/>
    <s v="Name454"/>
    <s v="Surname454"/>
    <s v="user454@example.com"/>
    <s v="+19609392773"/>
    <n v="52"/>
    <s v="Female"/>
    <s v="Canada"/>
    <s v="Sydney"/>
    <n v="85635"/>
    <n v="11"/>
    <d v="2023-02-21T00:00:00"/>
    <x v="0"/>
    <n v="9"/>
    <n v="5535"/>
  </r>
  <r>
    <x v="508"/>
    <s v="Name415"/>
    <s v="Surname415"/>
    <s v="user415@example.com"/>
    <s v="+15375571139"/>
    <n v="31"/>
    <s v="Female"/>
    <s v="Australia"/>
    <s v="Toronto"/>
    <n v="85285"/>
    <n v="31"/>
    <d v="2023-12-01T00:00:00"/>
    <x v="2"/>
    <n v="6"/>
    <n v="1505"/>
  </r>
  <r>
    <x v="509"/>
    <s v="Name126"/>
    <s v="Surname126"/>
    <s v="user126@example.com"/>
    <s v="+18984758855"/>
    <n v="64"/>
    <s v="Female"/>
    <s v="India"/>
    <s v="Mumbai"/>
    <n v="84572"/>
    <n v="30"/>
    <d v="2023-07-27T00:00:00"/>
    <x v="0"/>
    <n v="8"/>
    <n v="6268"/>
  </r>
  <r>
    <x v="510"/>
    <s v="Name216"/>
    <s v="Surname216"/>
    <s v="user216@example.com"/>
    <s v="+19502832066"/>
    <n v="68"/>
    <s v="Other"/>
    <s v="India"/>
    <s v="London"/>
    <n v="84507"/>
    <n v="7"/>
    <d v="2023-02-09T00:00:00"/>
    <x v="0"/>
    <n v="2"/>
    <n v="6888"/>
  </r>
  <r>
    <x v="511"/>
    <s v="Name793"/>
    <s v="Surname793"/>
    <s v="user793@example.com"/>
    <s v="+12873036814"/>
    <n v="18"/>
    <s v="Other"/>
    <s v="India"/>
    <s v="New York"/>
    <n v="84412"/>
    <n v="27"/>
    <d v="2023-04-15T00:00:00"/>
    <x v="0"/>
    <n v="5"/>
    <n v="151"/>
  </r>
  <r>
    <x v="512"/>
    <s v="Name169"/>
    <s v="Surname169"/>
    <s v="user169@example.com"/>
    <s v="+19960048525"/>
    <n v="70"/>
    <s v="Other"/>
    <s v="USA"/>
    <s v="New York"/>
    <n v="84260"/>
    <n v="27"/>
    <d v="2023-06-16T00:00:00"/>
    <x v="2"/>
    <n v="7"/>
    <n v="3130"/>
  </r>
  <r>
    <x v="513"/>
    <s v="Name660"/>
    <s v="Surname660"/>
    <s v="user660@example.com"/>
    <s v="+11442070545"/>
    <n v="36"/>
    <s v="Female"/>
    <s v="UK"/>
    <s v="New York"/>
    <n v="84155"/>
    <n v="92"/>
    <d v="2023-02-01T00:00:00"/>
    <x v="0"/>
    <n v="4"/>
    <n v="8836"/>
  </r>
  <r>
    <x v="514"/>
    <s v="Name902"/>
    <s v="Surname902"/>
    <s v="user902@example.com"/>
    <s v="+16324453074"/>
    <n v="34"/>
    <s v="Other"/>
    <s v="Canada"/>
    <s v="Mumbai"/>
    <n v="84145"/>
    <n v="73"/>
    <d v="2023-03-23T00:00:00"/>
    <x v="0"/>
    <n v="5"/>
    <n v="3179"/>
  </r>
  <r>
    <x v="515"/>
    <s v="Name170"/>
    <s v="Surname170"/>
    <s v="user170@example.com"/>
    <s v="+14887427226"/>
    <n v="70"/>
    <s v="Other"/>
    <s v="Canada"/>
    <s v="Toronto"/>
    <n v="84056"/>
    <n v="79"/>
    <d v="2023-11-21T00:00:00"/>
    <x v="0"/>
    <n v="4"/>
    <n v="7388"/>
  </r>
  <r>
    <x v="516"/>
    <s v="Name827"/>
    <s v="Surname827"/>
    <s v="user827@example.com"/>
    <s v="+12372885389"/>
    <n v="68"/>
    <s v="Other"/>
    <s v="India"/>
    <s v="Sydney"/>
    <n v="84055"/>
    <n v="22"/>
    <d v="2023-01-20T00:00:00"/>
    <x v="0"/>
    <n v="2"/>
    <n v="1263"/>
  </r>
  <r>
    <x v="517"/>
    <s v="Name98"/>
    <s v="Surname98"/>
    <s v="user98@example.com"/>
    <s v="+16906218058"/>
    <n v="37"/>
    <s v="Other"/>
    <s v="Canada"/>
    <s v="Sydney"/>
    <n v="83820"/>
    <n v="2"/>
    <d v="2023-02-01T00:00:00"/>
    <x v="0"/>
    <n v="6"/>
    <n v="849"/>
  </r>
  <r>
    <x v="518"/>
    <s v="Name190"/>
    <s v="Surname190"/>
    <s v="user190@example.com"/>
    <s v="+11499464504"/>
    <n v="27"/>
    <s v="Male"/>
    <s v="Australia"/>
    <s v="Mumbai"/>
    <n v="83751"/>
    <n v="17"/>
    <d v="2023-07-31T00:00:00"/>
    <x v="2"/>
    <n v="7"/>
    <n v="6413"/>
  </r>
  <r>
    <x v="519"/>
    <s v="Name896"/>
    <s v="Surname896"/>
    <s v="user896@example.com"/>
    <s v="+15038139641"/>
    <n v="30"/>
    <s v="Female"/>
    <s v="India"/>
    <s v="New York"/>
    <n v="83735"/>
    <n v="97"/>
    <d v="2023-04-13T00:00:00"/>
    <x v="2"/>
    <n v="7"/>
    <n v="2464"/>
  </r>
  <r>
    <x v="520"/>
    <s v="Name381"/>
    <s v="Surname381"/>
    <s v="user381@example.com"/>
    <s v="+13409483697"/>
    <n v="65"/>
    <s v="Other"/>
    <s v="USA"/>
    <s v="London"/>
    <n v="83464"/>
    <n v="14"/>
    <d v="2023-03-23T00:00:00"/>
    <x v="1"/>
    <n v="1"/>
    <n v="6207"/>
  </r>
  <r>
    <x v="521"/>
    <s v="Name150"/>
    <s v="Surname150"/>
    <s v="user150@example.com"/>
    <s v="+12416044031"/>
    <n v="34"/>
    <s v="Female"/>
    <s v="Canada"/>
    <s v="Toronto"/>
    <n v="83350"/>
    <n v="0"/>
    <d v="2023-10-14T00:00:00"/>
    <x v="0"/>
    <n v="8"/>
    <n v="1900"/>
  </r>
  <r>
    <x v="522"/>
    <s v="Name578"/>
    <s v="Surname578"/>
    <s v="user578@example.com"/>
    <s v="+11903034078"/>
    <n v="68"/>
    <s v="Other"/>
    <s v="UK"/>
    <s v="New York"/>
    <n v="83342"/>
    <n v="22"/>
    <d v="2023-06-17T00:00:00"/>
    <x v="2"/>
    <n v="4"/>
    <n v="2841"/>
  </r>
  <r>
    <x v="523"/>
    <s v="Name340"/>
    <s v="Surname340"/>
    <s v="user340@example.com"/>
    <s v="+14856749440"/>
    <n v="36"/>
    <s v="Male"/>
    <s v="India"/>
    <s v="Toronto"/>
    <n v="83315"/>
    <n v="21"/>
    <d v="2023-06-08T00:00:00"/>
    <x v="2"/>
    <n v="8"/>
    <n v="26"/>
  </r>
  <r>
    <x v="524"/>
    <s v="Name669"/>
    <s v="Surname669"/>
    <s v="user669@example.com"/>
    <s v="+18361327316"/>
    <n v="25"/>
    <s v="Female"/>
    <s v="Canada"/>
    <s v="London"/>
    <n v="83046"/>
    <n v="15"/>
    <d v="2023-07-17T00:00:00"/>
    <x v="2"/>
    <n v="6"/>
    <n v="4485"/>
  </r>
  <r>
    <x v="525"/>
    <s v="Name960"/>
    <s v="Surname960"/>
    <s v="user960@example.com"/>
    <s v="+14834676743"/>
    <n v="66"/>
    <s v="Other"/>
    <s v="Canada"/>
    <s v="Toronto"/>
    <n v="82845"/>
    <n v="95"/>
    <d v="2023-12-18T00:00:00"/>
    <x v="2"/>
    <n v="3"/>
    <n v="1965"/>
  </r>
  <r>
    <x v="526"/>
    <s v="Name619"/>
    <s v="Surname619"/>
    <s v="user619@example.com"/>
    <s v="+15735923841"/>
    <n v="50"/>
    <s v="Other"/>
    <s v="India"/>
    <s v="New York"/>
    <n v="82805"/>
    <n v="40"/>
    <d v="2023-10-13T00:00:00"/>
    <x v="2"/>
    <n v="7"/>
    <n v="8443"/>
  </r>
  <r>
    <x v="527"/>
    <s v="Name519"/>
    <s v="Surname519"/>
    <s v="user519@example.com"/>
    <s v="+13744123329"/>
    <n v="51"/>
    <s v="Male"/>
    <s v="Canada"/>
    <s v="Toronto"/>
    <n v="82746"/>
    <n v="47"/>
    <d v="2023-05-20T00:00:00"/>
    <x v="0"/>
    <n v="1"/>
    <n v="1797"/>
  </r>
  <r>
    <x v="528"/>
    <s v="Name307"/>
    <s v="Surname307"/>
    <s v="user307@example.com"/>
    <s v="+16606858894"/>
    <n v="53"/>
    <s v="Male"/>
    <s v="Australia"/>
    <s v="London"/>
    <n v="82737"/>
    <n v="10"/>
    <d v="2023-01-04T00:00:00"/>
    <x v="1"/>
    <n v="8"/>
    <n v="6369"/>
  </r>
  <r>
    <x v="529"/>
    <s v="Name772"/>
    <s v="Surname772"/>
    <s v="user772@example.com"/>
    <s v="+16584415504"/>
    <n v="41"/>
    <s v="Male"/>
    <s v="USA"/>
    <s v="Sydney"/>
    <n v="82733"/>
    <n v="59"/>
    <d v="2023-03-07T00:00:00"/>
    <x v="1"/>
    <n v="6"/>
    <n v="501"/>
  </r>
  <r>
    <x v="530"/>
    <s v="Name465"/>
    <s v="Surname465"/>
    <s v="user465@example.com"/>
    <s v="+12712883638"/>
    <n v="32"/>
    <s v="Female"/>
    <s v="Canada"/>
    <s v="Toronto"/>
    <n v="82586"/>
    <n v="10"/>
    <d v="2023-01-27T00:00:00"/>
    <x v="1"/>
    <n v="6"/>
    <n v="4103"/>
  </r>
  <r>
    <x v="531"/>
    <s v="Name94"/>
    <s v="Surname94"/>
    <s v="user94@example.com"/>
    <s v="+17812105017"/>
    <n v="32"/>
    <s v="Other"/>
    <s v="Australia"/>
    <s v="Toronto"/>
    <n v="82581"/>
    <n v="40"/>
    <d v="2023-10-30T00:00:00"/>
    <x v="0"/>
    <n v="7"/>
    <n v="8039"/>
  </r>
  <r>
    <x v="532"/>
    <s v="Name275"/>
    <s v="Surname275"/>
    <s v="user275@example.com"/>
    <s v="+17604155753"/>
    <n v="33"/>
    <s v="Female"/>
    <s v="Australia"/>
    <s v="New York"/>
    <n v="82509"/>
    <n v="92"/>
    <d v="2023-02-02T00:00:00"/>
    <x v="0"/>
    <n v="7"/>
    <n v="986"/>
  </r>
  <r>
    <x v="533"/>
    <s v="Name662"/>
    <s v="Surname662"/>
    <s v="user662@example.com"/>
    <s v="+14870056920"/>
    <n v="35"/>
    <s v="Female"/>
    <s v="USA"/>
    <s v="Toronto"/>
    <n v="82397"/>
    <n v="94"/>
    <d v="2023-04-20T00:00:00"/>
    <x v="2"/>
    <n v="6"/>
    <n v="5851"/>
  </r>
  <r>
    <x v="534"/>
    <s v="Name833"/>
    <s v="Surname833"/>
    <s v="user833@example.com"/>
    <s v="+19624906805"/>
    <n v="33"/>
    <s v="Female"/>
    <s v="UK"/>
    <s v="Toronto"/>
    <n v="82257"/>
    <n v="65"/>
    <d v="2023-10-16T00:00:00"/>
    <x v="2"/>
    <n v="3"/>
    <n v="1368"/>
  </r>
  <r>
    <x v="535"/>
    <s v="Name66"/>
    <s v="Surname66"/>
    <s v="user66@example.com"/>
    <s v="+16681875236"/>
    <n v="42"/>
    <s v="Female"/>
    <s v="UK"/>
    <s v="Sydney"/>
    <n v="82218"/>
    <n v="50"/>
    <d v="2023-01-22T00:00:00"/>
    <x v="1"/>
    <n v="3"/>
    <n v="1840"/>
  </r>
  <r>
    <x v="536"/>
    <s v="Name177"/>
    <s v="Surname177"/>
    <s v="user177@example.com"/>
    <s v="+15799015259"/>
    <n v="29"/>
    <s v="Male"/>
    <s v="Australia"/>
    <s v="London"/>
    <n v="82188"/>
    <n v="77"/>
    <d v="2023-09-28T00:00:00"/>
    <x v="1"/>
    <n v="3"/>
    <n v="6124"/>
  </r>
  <r>
    <x v="537"/>
    <s v="Name555"/>
    <s v="Surname555"/>
    <s v="user555@example.com"/>
    <s v="+12473998403"/>
    <n v="63"/>
    <s v="Female"/>
    <s v="Australia"/>
    <s v="Mumbai"/>
    <n v="82185"/>
    <n v="47"/>
    <d v="2023-01-12T00:00:00"/>
    <x v="0"/>
    <n v="9"/>
    <n v="3710"/>
  </r>
  <r>
    <x v="538"/>
    <s v="Name187"/>
    <s v="Surname187"/>
    <s v="user187@example.com"/>
    <s v="+15763709423"/>
    <n v="20"/>
    <s v="Other"/>
    <s v="Canada"/>
    <s v="Mumbai"/>
    <n v="82071"/>
    <n v="24"/>
    <d v="2023-04-23T00:00:00"/>
    <x v="2"/>
    <n v="10"/>
    <n v="7419"/>
  </r>
  <r>
    <x v="539"/>
    <s v="Name956"/>
    <s v="Surname956"/>
    <s v="user956@example.com"/>
    <s v="+12625565324"/>
    <n v="53"/>
    <s v="Male"/>
    <s v="Canada"/>
    <s v="Toronto"/>
    <n v="81962"/>
    <n v="37"/>
    <d v="2023-01-05T00:00:00"/>
    <x v="2"/>
    <n v="3"/>
    <n v="1783"/>
  </r>
  <r>
    <x v="540"/>
    <s v="Name489"/>
    <s v="Surname489"/>
    <s v="user489@example.com"/>
    <s v="+11325815841"/>
    <n v="23"/>
    <s v="Female"/>
    <s v="Canada"/>
    <s v="New York"/>
    <n v="81859"/>
    <n v="97"/>
    <d v="2023-11-06T00:00:00"/>
    <x v="2"/>
    <n v="2"/>
    <n v="1509"/>
  </r>
  <r>
    <x v="541"/>
    <s v="Name597"/>
    <s v="Surname597"/>
    <s v="user597@example.com"/>
    <s v="+15419397831"/>
    <n v="18"/>
    <s v="Male"/>
    <s v="Australia"/>
    <s v="London"/>
    <n v="81784"/>
    <n v="26"/>
    <d v="2023-05-10T00:00:00"/>
    <x v="1"/>
    <n v="1"/>
    <n v="8375"/>
  </r>
  <r>
    <x v="542"/>
    <s v="Name477"/>
    <s v="Surname477"/>
    <s v="user477@example.com"/>
    <s v="+11144662791"/>
    <n v="68"/>
    <s v="Male"/>
    <s v="UK"/>
    <s v="Mumbai"/>
    <n v="81702"/>
    <n v="40"/>
    <d v="2023-09-16T00:00:00"/>
    <x v="0"/>
    <n v="5"/>
    <n v="8017"/>
  </r>
  <r>
    <x v="543"/>
    <s v="Name83"/>
    <s v="Surname83"/>
    <s v="user83@example.com"/>
    <s v="+19297623999"/>
    <n v="48"/>
    <s v="Female"/>
    <s v="Canada"/>
    <s v="Mumbai"/>
    <n v="81682"/>
    <n v="72"/>
    <d v="2023-02-21T00:00:00"/>
    <x v="1"/>
    <n v="3"/>
    <n v="993"/>
  </r>
  <r>
    <x v="544"/>
    <s v="Name108"/>
    <s v="Surname108"/>
    <s v="user108@example.com"/>
    <s v="+14514349392"/>
    <n v="24"/>
    <s v="Male"/>
    <s v="UK"/>
    <s v="Toronto"/>
    <n v="81582"/>
    <n v="12"/>
    <d v="2023-05-13T00:00:00"/>
    <x v="1"/>
    <n v="8"/>
    <n v="308"/>
  </r>
  <r>
    <x v="545"/>
    <s v="Name720"/>
    <s v="Surname720"/>
    <s v="user720@example.com"/>
    <s v="+18378400201"/>
    <n v="24"/>
    <s v="Male"/>
    <s v="India"/>
    <s v="London"/>
    <n v="81376"/>
    <n v="57"/>
    <d v="2023-01-23T00:00:00"/>
    <x v="2"/>
    <n v="5"/>
    <n v="8039"/>
  </r>
  <r>
    <x v="546"/>
    <s v="Name496"/>
    <s v="Surname496"/>
    <s v="user496@example.com"/>
    <s v="+11205240079"/>
    <n v="47"/>
    <s v="Other"/>
    <s v="UK"/>
    <s v="London"/>
    <n v="81370"/>
    <n v="62"/>
    <d v="2023-04-29T00:00:00"/>
    <x v="2"/>
    <n v="3"/>
    <n v="7996"/>
  </r>
  <r>
    <x v="547"/>
    <s v="Name32"/>
    <s v="Surname32"/>
    <s v="user32@example.com"/>
    <s v="+12567379725"/>
    <n v="32"/>
    <s v="Female"/>
    <s v="USA"/>
    <s v="Mumbai"/>
    <n v="81358"/>
    <n v="4"/>
    <d v="2023-10-01T00:00:00"/>
    <x v="2"/>
    <n v="4"/>
    <n v="3767"/>
  </r>
  <r>
    <x v="548"/>
    <s v="Name15"/>
    <s v="Surname15"/>
    <s v="user15@example.com"/>
    <s v="+11516005294"/>
    <n v="64"/>
    <s v="Male"/>
    <s v="India"/>
    <s v="Mumbai"/>
    <n v="81339"/>
    <n v="10"/>
    <d v="2023-02-25T00:00:00"/>
    <x v="2"/>
    <n v="5"/>
    <n v="747"/>
  </r>
  <r>
    <x v="549"/>
    <s v="Name439"/>
    <s v="Surname439"/>
    <s v="user439@example.com"/>
    <s v="+15678208272"/>
    <n v="19"/>
    <s v="Other"/>
    <s v="USA"/>
    <s v="New York"/>
    <n v="81315"/>
    <n v="29"/>
    <d v="2023-11-18T00:00:00"/>
    <x v="2"/>
    <n v="1"/>
    <n v="1670"/>
  </r>
  <r>
    <x v="550"/>
    <s v="Name861"/>
    <s v="Surname861"/>
    <s v="user861@example.com"/>
    <s v="+15550886361"/>
    <n v="61"/>
    <s v="Female"/>
    <s v="Australia"/>
    <s v="London"/>
    <n v="81164"/>
    <n v="22"/>
    <d v="2023-05-12T00:00:00"/>
    <x v="0"/>
    <n v="6"/>
    <n v="1273"/>
  </r>
  <r>
    <x v="551"/>
    <s v="Name158"/>
    <s v="Surname158"/>
    <s v="user158@example.com"/>
    <s v="+15752630764"/>
    <n v="68"/>
    <s v="Female"/>
    <s v="Australia"/>
    <s v="Mumbai"/>
    <n v="81087"/>
    <n v="62"/>
    <d v="2023-06-11T00:00:00"/>
    <x v="2"/>
    <n v="1"/>
    <n v="5558"/>
  </r>
  <r>
    <x v="552"/>
    <s v="Name298"/>
    <s v="Surname298"/>
    <s v="user298@example.com"/>
    <s v="+17971870242"/>
    <n v="22"/>
    <s v="Female"/>
    <s v="Australia"/>
    <s v="Sydney"/>
    <n v="81027"/>
    <n v="60"/>
    <d v="2023-02-07T00:00:00"/>
    <x v="2"/>
    <n v="1"/>
    <n v="3993"/>
  </r>
  <r>
    <x v="553"/>
    <s v="Name663"/>
    <s v="Surname663"/>
    <s v="user663@example.com"/>
    <s v="+11582411228"/>
    <n v="43"/>
    <s v="Other"/>
    <s v="Australia"/>
    <s v="London"/>
    <n v="80997"/>
    <n v="98"/>
    <d v="2023-04-04T00:00:00"/>
    <x v="1"/>
    <n v="5"/>
    <n v="1693"/>
  </r>
  <r>
    <x v="554"/>
    <s v="Name724"/>
    <s v="Surname724"/>
    <s v="user724@example.com"/>
    <s v="+13014585087"/>
    <n v="41"/>
    <s v="Female"/>
    <s v="Australia"/>
    <s v="Sydney"/>
    <n v="80997"/>
    <n v="53"/>
    <d v="2023-04-14T00:00:00"/>
    <x v="2"/>
    <n v="7"/>
    <n v="9782"/>
  </r>
  <r>
    <x v="555"/>
    <s v="Name862"/>
    <s v="Surname862"/>
    <s v="user862@example.com"/>
    <s v="+15647229386"/>
    <n v="23"/>
    <s v="Other"/>
    <s v="UK"/>
    <s v="Mumbai"/>
    <n v="80827"/>
    <n v="92"/>
    <d v="2023-08-20T00:00:00"/>
    <x v="1"/>
    <n v="4"/>
    <n v="1915"/>
  </r>
  <r>
    <x v="556"/>
    <s v="Name757"/>
    <s v="Surname757"/>
    <s v="user757@example.com"/>
    <s v="+18444737280"/>
    <n v="60"/>
    <s v="Female"/>
    <s v="India"/>
    <s v="London"/>
    <n v="80793"/>
    <n v="35"/>
    <d v="2023-10-07T00:00:00"/>
    <x v="1"/>
    <n v="8"/>
    <n v="9500"/>
  </r>
  <r>
    <x v="557"/>
    <s v="Name223"/>
    <s v="Surname223"/>
    <s v="user223@example.com"/>
    <s v="+16359711662"/>
    <n v="30"/>
    <s v="Male"/>
    <s v="India"/>
    <s v="London"/>
    <n v="80449"/>
    <n v="56"/>
    <d v="2023-08-11T00:00:00"/>
    <x v="2"/>
    <n v="1"/>
    <n v="6217"/>
  </r>
  <r>
    <x v="558"/>
    <s v="Name668"/>
    <s v="Surname668"/>
    <s v="user668@example.com"/>
    <s v="+16921848515"/>
    <n v="27"/>
    <s v="Other"/>
    <s v="UK"/>
    <s v="Mumbai"/>
    <n v="80360"/>
    <n v="71"/>
    <d v="2023-10-19T00:00:00"/>
    <x v="2"/>
    <n v="4"/>
    <n v="1791"/>
  </r>
  <r>
    <x v="559"/>
    <s v="Name798"/>
    <s v="Surname798"/>
    <s v="user798@example.com"/>
    <s v="+16797397735"/>
    <n v="56"/>
    <s v="Other"/>
    <s v="Australia"/>
    <s v="New York"/>
    <n v="80277"/>
    <n v="64"/>
    <d v="2023-02-20T00:00:00"/>
    <x v="1"/>
    <n v="5"/>
    <n v="2218"/>
  </r>
  <r>
    <x v="560"/>
    <s v="Name497"/>
    <s v="Surname497"/>
    <s v="user497@example.com"/>
    <s v="+17864429803"/>
    <n v="45"/>
    <s v="Other"/>
    <s v="UK"/>
    <s v="Mumbai"/>
    <n v="80250"/>
    <n v="99"/>
    <d v="2023-07-11T00:00:00"/>
    <x v="1"/>
    <n v="9"/>
    <n v="7186"/>
  </r>
  <r>
    <x v="561"/>
    <s v="Name939"/>
    <s v="Surname939"/>
    <s v="user939@example.com"/>
    <s v="+14233443779"/>
    <n v="34"/>
    <s v="Male"/>
    <s v="India"/>
    <s v="Toronto"/>
    <n v="80150"/>
    <n v="75"/>
    <d v="2023-06-08T00:00:00"/>
    <x v="1"/>
    <n v="4"/>
    <n v="2913"/>
  </r>
  <r>
    <x v="562"/>
    <s v="Name527"/>
    <s v="Surname527"/>
    <s v="user527@example.com"/>
    <s v="+11932082112"/>
    <n v="39"/>
    <s v="Female"/>
    <s v="Australia"/>
    <s v="New York"/>
    <n v="80140"/>
    <n v="9"/>
    <d v="2023-01-11T00:00:00"/>
    <x v="1"/>
    <n v="2"/>
    <n v="4187"/>
  </r>
  <r>
    <x v="563"/>
    <s v="Name539"/>
    <s v="Surname539"/>
    <s v="user539@example.com"/>
    <s v="+19077073858"/>
    <n v="65"/>
    <s v="Other"/>
    <s v="Canada"/>
    <s v="Mumbai"/>
    <n v="79842"/>
    <n v="87"/>
    <d v="2023-01-16T00:00:00"/>
    <x v="2"/>
    <n v="8"/>
    <n v="1194"/>
  </r>
  <r>
    <x v="564"/>
    <s v="Name119"/>
    <s v="Surname119"/>
    <s v="user119@example.com"/>
    <s v="+18826164693"/>
    <n v="67"/>
    <s v="Other"/>
    <s v="UK"/>
    <s v="Mumbai"/>
    <n v="79780"/>
    <n v="39"/>
    <d v="2023-09-24T00:00:00"/>
    <x v="0"/>
    <n v="10"/>
    <n v="2575"/>
  </r>
  <r>
    <x v="565"/>
    <s v="Name727"/>
    <s v="Surname727"/>
    <s v="user727@example.com"/>
    <s v="+13370037642"/>
    <n v="34"/>
    <s v="Female"/>
    <s v="Australia"/>
    <s v="New York"/>
    <n v="79739"/>
    <n v="32"/>
    <d v="2023-07-21T00:00:00"/>
    <x v="2"/>
    <n v="6"/>
    <n v="2054"/>
  </r>
  <r>
    <x v="566"/>
    <s v="Name716"/>
    <s v="Surname716"/>
    <s v="user716@example.com"/>
    <s v="+18004989089"/>
    <n v="59"/>
    <s v="Male"/>
    <s v="Canada"/>
    <s v="Sydney"/>
    <n v="79720"/>
    <n v="71"/>
    <d v="2023-12-25T00:00:00"/>
    <x v="1"/>
    <n v="6"/>
    <n v="8623"/>
  </r>
  <r>
    <x v="567"/>
    <s v="Name448"/>
    <s v="Surname448"/>
    <s v="user448@example.com"/>
    <s v="+12129467509"/>
    <n v="47"/>
    <s v="Other"/>
    <s v="USA"/>
    <s v="Mumbai"/>
    <n v="79670"/>
    <n v="81"/>
    <d v="2023-03-24T00:00:00"/>
    <x v="1"/>
    <n v="6"/>
    <n v="531"/>
  </r>
  <r>
    <x v="568"/>
    <s v="Name813"/>
    <s v="Surname813"/>
    <s v="user813@example.com"/>
    <s v="+15488256359"/>
    <n v="43"/>
    <s v="Female"/>
    <s v="Australia"/>
    <s v="Toronto"/>
    <n v="79609"/>
    <n v="6"/>
    <d v="2023-01-04T00:00:00"/>
    <x v="2"/>
    <n v="2"/>
    <n v="6720"/>
  </r>
  <r>
    <x v="569"/>
    <s v="Name764"/>
    <s v="Surname764"/>
    <s v="user764@example.com"/>
    <s v="+12283986762"/>
    <n v="31"/>
    <s v="Male"/>
    <s v="Canada"/>
    <s v="New York"/>
    <n v="79382"/>
    <n v="14"/>
    <d v="2023-06-09T00:00:00"/>
    <x v="0"/>
    <n v="7"/>
    <n v="4093"/>
  </r>
  <r>
    <x v="570"/>
    <s v="Name964"/>
    <s v="Surname964"/>
    <s v="user964@example.com"/>
    <s v="+16751496102"/>
    <n v="62"/>
    <s v="Female"/>
    <s v="USA"/>
    <s v="Sydney"/>
    <n v="79351"/>
    <n v="8"/>
    <d v="2023-02-05T00:00:00"/>
    <x v="1"/>
    <n v="1"/>
    <n v="6854"/>
  </r>
  <r>
    <x v="571"/>
    <s v="Name395"/>
    <s v="Surname395"/>
    <s v="user395@example.com"/>
    <s v="+11068194718"/>
    <n v="56"/>
    <s v="Other"/>
    <s v="USA"/>
    <s v="Sydney"/>
    <n v="79313"/>
    <n v="47"/>
    <d v="2023-06-15T00:00:00"/>
    <x v="2"/>
    <n v="2"/>
    <n v="5741"/>
  </r>
  <r>
    <x v="572"/>
    <s v="Name274"/>
    <s v="Surname274"/>
    <s v="user274@example.com"/>
    <s v="+13326124130"/>
    <n v="65"/>
    <s v="Female"/>
    <s v="UK"/>
    <s v="Mumbai"/>
    <n v="79176"/>
    <n v="93"/>
    <d v="2023-02-22T00:00:00"/>
    <x v="2"/>
    <n v="3"/>
    <n v="8399"/>
  </r>
  <r>
    <x v="573"/>
    <s v="Name848"/>
    <s v="Surname848"/>
    <s v="user848@example.com"/>
    <s v="+19778519752"/>
    <n v="29"/>
    <s v="Other"/>
    <s v="USA"/>
    <s v="Sydney"/>
    <n v="79125"/>
    <n v="85"/>
    <d v="2023-06-01T00:00:00"/>
    <x v="2"/>
    <n v="2"/>
    <n v="204"/>
  </r>
  <r>
    <x v="574"/>
    <s v="Name407"/>
    <s v="Surname407"/>
    <s v="user407@example.com"/>
    <s v="+15424226755"/>
    <n v="67"/>
    <s v="Female"/>
    <s v="Australia"/>
    <s v="New York"/>
    <n v="78914"/>
    <n v="0"/>
    <d v="2023-07-29T00:00:00"/>
    <x v="2"/>
    <n v="4"/>
    <n v="6714"/>
  </r>
  <r>
    <x v="575"/>
    <s v="Name602"/>
    <s v="Surname602"/>
    <s v="user602@example.com"/>
    <s v="+14506046508"/>
    <n v="50"/>
    <s v="Male"/>
    <s v="Canada"/>
    <s v="Toronto"/>
    <n v="78825"/>
    <n v="26"/>
    <d v="2023-06-18T00:00:00"/>
    <x v="1"/>
    <n v="10"/>
    <n v="7567"/>
  </r>
  <r>
    <x v="576"/>
    <s v="Name651"/>
    <s v="Surname651"/>
    <s v="user651@example.com"/>
    <s v="+19309738889"/>
    <n v="57"/>
    <s v="Other"/>
    <s v="USA"/>
    <s v="Toronto"/>
    <n v="78789"/>
    <n v="23"/>
    <d v="2023-10-02T00:00:00"/>
    <x v="2"/>
    <n v="10"/>
    <n v="7574"/>
  </r>
  <r>
    <x v="577"/>
    <s v="Name128"/>
    <s v="Surname128"/>
    <s v="user128@example.com"/>
    <s v="+12367783401"/>
    <n v="37"/>
    <s v="Male"/>
    <s v="Australia"/>
    <s v="Mumbai"/>
    <n v="78296"/>
    <n v="8"/>
    <d v="2023-04-18T00:00:00"/>
    <x v="0"/>
    <n v="6"/>
    <n v="8617"/>
  </r>
  <r>
    <x v="578"/>
    <s v="Name733"/>
    <s v="Surname733"/>
    <s v="user733@example.com"/>
    <s v="+13420961791"/>
    <n v="68"/>
    <s v="Male"/>
    <s v="USA"/>
    <s v="New York"/>
    <n v="78074"/>
    <n v="27"/>
    <d v="2023-05-30T00:00:00"/>
    <x v="1"/>
    <n v="6"/>
    <n v="5569"/>
  </r>
  <r>
    <x v="579"/>
    <s v="Name252"/>
    <s v="Surname252"/>
    <s v="user252@example.com"/>
    <s v="+17375151740"/>
    <n v="50"/>
    <s v="Male"/>
    <s v="Australia"/>
    <s v="Sydney"/>
    <n v="77924"/>
    <n v="50"/>
    <d v="2023-07-18T00:00:00"/>
    <x v="0"/>
    <n v="3"/>
    <n v="4969"/>
  </r>
  <r>
    <x v="580"/>
    <s v="Name928"/>
    <s v="Surname928"/>
    <s v="user928@example.com"/>
    <s v="+11130239605"/>
    <n v="57"/>
    <s v="Female"/>
    <s v="USA"/>
    <s v="New York"/>
    <n v="77877"/>
    <n v="37"/>
    <d v="2023-11-27T00:00:00"/>
    <x v="2"/>
    <n v="8"/>
    <n v="905"/>
  </r>
  <r>
    <x v="581"/>
    <s v="Name339"/>
    <s v="Surname339"/>
    <s v="user339@example.com"/>
    <s v="+16091101219"/>
    <n v="35"/>
    <s v="Male"/>
    <s v="Australia"/>
    <s v="Mumbai"/>
    <n v="77833"/>
    <n v="76"/>
    <d v="2023-03-27T00:00:00"/>
    <x v="2"/>
    <n v="4"/>
    <n v="2745"/>
  </r>
  <r>
    <x v="582"/>
    <s v="Name641"/>
    <s v="Surname641"/>
    <s v="user641@example.com"/>
    <s v="+17674566737"/>
    <n v="36"/>
    <s v="Male"/>
    <s v="UK"/>
    <s v="Toronto"/>
    <n v="77744"/>
    <n v="21"/>
    <d v="2023-09-21T00:00:00"/>
    <x v="1"/>
    <n v="3"/>
    <n v="7385"/>
  </r>
  <r>
    <x v="583"/>
    <s v="Name458"/>
    <s v="Surname458"/>
    <s v="user458@example.com"/>
    <s v="+14743183219"/>
    <n v="66"/>
    <s v="Male"/>
    <s v="Australia"/>
    <s v="Toronto"/>
    <n v="77686"/>
    <n v="38"/>
    <d v="2023-06-05T00:00:00"/>
    <x v="0"/>
    <n v="10"/>
    <n v="4526"/>
  </r>
  <r>
    <x v="584"/>
    <s v="Name228"/>
    <s v="Surname228"/>
    <s v="user228@example.com"/>
    <s v="+15498968986"/>
    <n v="48"/>
    <s v="Other"/>
    <s v="USA"/>
    <s v="Mumbai"/>
    <n v="77544"/>
    <n v="64"/>
    <d v="2023-10-01T00:00:00"/>
    <x v="0"/>
    <n v="2"/>
    <n v="4920"/>
  </r>
  <r>
    <x v="585"/>
    <s v="Name529"/>
    <s v="Surname529"/>
    <s v="user529@example.com"/>
    <s v="+13933147820"/>
    <n v="32"/>
    <s v="Female"/>
    <s v="Canada"/>
    <s v="Mumbai"/>
    <n v="77444"/>
    <n v="58"/>
    <d v="2023-10-02T00:00:00"/>
    <x v="0"/>
    <n v="1"/>
    <n v="9699"/>
  </r>
  <r>
    <x v="586"/>
    <s v="Name81"/>
    <s v="Surname81"/>
    <s v="user81@example.com"/>
    <s v="+15779634558"/>
    <n v="58"/>
    <s v="Male"/>
    <s v="USA"/>
    <s v="New York"/>
    <n v="77376"/>
    <n v="46"/>
    <d v="2023-03-03T00:00:00"/>
    <x v="1"/>
    <n v="9"/>
    <n v="3956"/>
  </r>
  <r>
    <x v="587"/>
    <s v="Name686"/>
    <s v="Surname686"/>
    <s v="user686@example.com"/>
    <s v="+18098143046"/>
    <n v="62"/>
    <s v="Male"/>
    <s v="Australia"/>
    <s v="Sydney"/>
    <n v="77376"/>
    <n v="98"/>
    <d v="2023-05-23T00:00:00"/>
    <x v="0"/>
    <n v="2"/>
    <n v="2528"/>
  </r>
  <r>
    <x v="588"/>
    <s v="Name559"/>
    <s v="Surname559"/>
    <s v="user559@example.com"/>
    <s v="+13661186067"/>
    <n v="57"/>
    <s v="Female"/>
    <s v="USA"/>
    <s v="New York"/>
    <n v="76991"/>
    <n v="60"/>
    <d v="2023-02-13T00:00:00"/>
    <x v="2"/>
    <n v="7"/>
    <n v="8295"/>
  </r>
  <r>
    <x v="589"/>
    <s v="Name634"/>
    <s v="Surname634"/>
    <s v="user634@example.com"/>
    <s v="+15285179951"/>
    <n v="21"/>
    <s v="Other"/>
    <s v="Canada"/>
    <s v="Mumbai"/>
    <n v="76984"/>
    <n v="74"/>
    <d v="2023-07-31T00:00:00"/>
    <x v="0"/>
    <n v="7"/>
    <n v="1961"/>
  </r>
  <r>
    <x v="590"/>
    <s v="Name677"/>
    <s v="Surname677"/>
    <s v="user677@example.com"/>
    <s v="+19814591087"/>
    <n v="42"/>
    <s v="Male"/>
    <s v="India"/>
    <s v="Mumbai"/>
    <n v="76931"/>
    <n v="26"/>
    <d v="2023-06-21T00:00:00"/>
    <x v="0"/>
    <n v="1"/>
    <n v="195"/>
  </r>
  <r>
    <x v="591"/>
    <s v="Name487"/>
    <s v="Surname487"/>
    <s v="user487@example.com"/>
    <s v="+15469387366"/>
    <n v="67"/>
    <s v="Male"/>
    <s v="USA"/>
    <s v="Toronto"/>
    <n v="76753"/>
    <n v="55"/>
    <d v="2023-01-29T00:00:00"/>
    <x v="0"/>
    <n v="5"/>
    <n v="8124"/>
  </r>
  <r>
    <x v="592"/>
    <s v="Name107"/>
    <s v="Surname107"/>
    <s v="user107@example.com"/>
    <s v="+14402256913"/>
    <n v="40"/>
    <s v="Male"/>
    <s v="Canada"/>
    <s v="London"/>
    <n v="76382"/>
    <n v="93"/>
    <d v="2023-06-21T00:00:00"/>
    <x v="2"/>
    <n v="2"/>
    <n v="9028"/>
  </r>
  <r>
    <x v="593"/>
    <s v="Name238"/>
    <s v="Surname238"/>
    <s v="user238@example.com"/>
    <s v="+11336169728"/>
    <n v="59"/>
    <s v="Male"/>
    <s v="UK"/>
    <s v="London"/>
    <n v="76244"/>
    <n v="52"/>
    <d v="2023-05-14T00:00:00"/>
    <x v="1"/>
    <n v="2"/>
    <n v="5754"/>
  </r>
  <r>
    <x v="594"/>
    <s v="Name526"/>
    <s v="Surname526"/>
    <s v="user526@example.com"/>
    <s v="+11576920134"/>
    <n v="26"/>
    <s v="Female"/>
    <s v="USA"/>
    <s v="Sydney"/>
    <n v="76003"/>
    <n v="56"/>
    <d v="2023-02-06T00:00:00"/>
    <x v="2"/>
    <n v="3"/>
    <n v="5583"/>
  </r>
  <r>
    <x v="595"/>
    <s v="Name846"/>
    <s v="Surname846"/>
    <s v="user846@example.com"/>
    <s v="+15480262061"/>
    <n v="37"/>
    <s v="Male"/>
    <s v="UK"/>
    <s v="Sydney"/>
    <n v="75965"/>
    <n v="3"/>
    <d v="2023-04-01T00:00:00"/>
    <x v="2"/>
    <n v="2"/>
    <n v="6647"/>
  </r>
  <r>
    <x v="596"/>
    <s v="Name737"/>
    <s v="Surname737"/>
    <s v="user737@example.com"/>
    <s v="+14295451437"/>
    <n v="68"/>
    <s v="Female"/>
    <s v="Canada"/>
    <s v="New York"/>
    <n v="75850"/>
    <n v="45"/>
    <d v="2023-07-26T00:00:00"/>
    <x v="2"/>
    <n v="5"/>
    <n v="7817"/>
  </r>
  <r>
    <x v="597"/>
    <s v="Name728"/>
    <s v="Surname728"/>
    <s v="user728@example.com"/>
    <s v="+17860912589"/>
    <n v="62"/>
    <s v="Female"/>
    <s v="USA"/>
    <s v="Sydney"/>
    <n v="75701"/>
    <n v="45"/>
    <d v="2023-10-27T00:00:00"/>
    <x v="1"/>
    <n v="1"/>
    <n v="128"/>
  </r>
  <r>
    <x v="598"/>
    <s v="Name17"/>
    <s v="Surname17"/>
    <s v="user17@example.com"/>
    <s v="+13672203929"/>
    <n v="18"/>
    <s v="Male"/>
    <s v="UK"/>
    <s v="Toronto"/>
    <n v="75607"/>
    <n v="83"/>
    <d v="2023-10-03T00:00:00"/>
    <x v="2"/>
    <n v="7"/>
    <n v="1791"/>
  </r>
  <r>
    <x v="599"/>
    <s v="Name533"/>
    <s v="Surname533"/>
    <s v="user533@example.com"/>
    <s v="+18553134330"/>
    <n v="24"/>
    <s v="Male"/>
    <s v="Canada"/>
    <s v="Sydney"/>
    <n v="75029"/>
    <n v="81"/>
    <d v="2023-01-13T00:00:00"/>
    <x v="1"/>
    <n v="9"/>
    <n v="6567"/>
  </r>
  <r>
    <x v="600"/>
    <s v="Name637"/>
    <s v="Surname637"/>
    <s v="user637@example.com"/>
    <s v="+11293440885"/>
    <n v="31"/>
    <s v="Female"/>
    <s v="India"/>
    <s v="Mumbai"/>
    <n v="74975"/>
    <n v="18"/>
    <d v="2023-04-24T00:00:00"/>
    <x v="0"/>
    <n v="1"/>
    <n v="5065"/>
  </r>
  <r>
    <x v="601"/>
    <s v="Name435"/>
    <s v="Surname435"/>
    <s v="user435@example.com"/>
    <s v="+17246443946"/>
    <n v="27"/>
    <s v="Other"/>
    <s v="USA"/>
    <s v="Sydney"/>
    <n v="74826"/>
    <n v="96"/>
    <d v="2023-01-30T00:00:00"/>
    <x v="2"/>
    <n v="10"/>
    <n v="2748"/>
  </r>
  <r>
    <x v="602"/>
    <s v="Name614"/>
    <s v="Surname614"/>
    <s v="user614@example.com"/>
    <s v="+16528734704"/>
    <n v="68"/>
    <s v="Male"/>
    <s v="Australia"/>
    <s v="New York"/>
    <n v="74794"/>
    <n v="16"/>
    <d v="2023-09-05T00:00:00"/>
    <x v="1"/>
    <n v="7"/>
    <n v="4644"/>
  </r>
  <r>
    <x v="603"/>
    <s v="Name121"/>
    <s v="Surname121"/>
    <s v="user121@example.com"/>
    <s v="+11096585105"/>
    <n v="60"/>
    <s v="Male"/>
    <s v="India"/>
    <s v="Mumbai"/>
    <n v="74677"/>
    <n v="20"/>
    <d v="2023-10-22T00:00:00"/>
    <x v="1"/>
    <n v="6"/>
    <n v="9156"/>
  </r>
  <r>
    <x v="604"/>
    <s v="Name571"/>
    <s v="Surname571"/>
    <s v="user571@example.com"/>
    <s v="+18400685828"/>
    <n v="60"/>
    <s v="Other"/>
    <s v="UK"/>
    <s v="Sydney"/>
    <n v="74651"/>
    <n v="11"/>
    <d v="2023-01-06T00:00:00"/>
    <x v="1"/>
    <n v="2"/>
    <n v="8033"/>
  </r>
  <r>
    <x v="605"/>
    <s v="Name842"/>
    <s v="Surname842"/>
    <s v="user842@example.com"/>
    <s v="+13216507078"/>
    <n v="51"/>
    <s v="Female"/>
    <s v="UK"/>
    <s v="Toronto"/>
    <n v="74281"/>
    <n v="19"/>
    <d v="2023-07-31T00:00:00"/>
    <x v="2"/>
    <n v="3"/>
    <n v="3956"/>
  </r>
  <r>
    <x v="606"/>
    <s v="Name770"/>
    <s v="Surname770"/>
    <s v="user770@example.com"/>
    <s v="+13763604571"/>
    <n v="60"/>
    <s v="Female"/>
    <s v="Canada"/>
    <s v="Toronto"/>
    <n v="74223"/>
    <n v="6"/>
    <d v="2023-12-16T00:00:00"/>
    <x v="2"/>
    <n v="1"/>
    <n v="7250"/>
  </r>
  <r>
    <x v="607"/>
    <s v="Name968"/>
    <s v="Surname968"/>
    <s v="user968@example.com"/>
    <s v="+16166873234"/>
    <n v="21"/>
    <s v="Other"/>
    <s v="Canada"/>
    <s v="Mumbai"/>
    <n v="74192"/>
    <n v="92"/>
    <d v="2023-08-22T00:00:00"/>
    <x v="0"/>
    <n v="10"/>
    <n v="6576"/>
  </r>
  <r>
    <x v="608"/>
    <s v="Name393"/>
    <s v="Surname393"/>
    <s v="user393@example.com"/>
    <s v="+13212810640"/>
    <n v="53"/>
    <s v="Female"/>
    <s v="USA"/>
    <s v="New York"/>
    <n v="73880"/>
    <n v="20"/>
    <d v="2023-07-29T00:00:00"/>
    <x v="0"/>
    <n v="9"/>
    <n v="5430"/>
  </r>
  <r>
    <x v="609"/>
    <s v="Name423"/>
    <s v="Surname423"/>
    <s v="user423@example.com"/>
    <s v="+13277673729"/>
    <n v="69"/>
    <s v="Female"/>
    <s v="India"/>
    <s v="Toronto"/>
    <n v="73742"/>
    <n v="41"/>
    <d v="2023-04-13T00:00:00"/>
    <x v="0"/>
    <n v="7"/>
    <n v="3117"/>
  </r>
  <r>
    <x v="610"/>
    <s v="Name320"/>
    <s v="Surname320"/>
    <s v="user320@example.com"/>
    <s v="+18986201567"/>
    <n v="38"/>
    <s v="Female"/>
    <s v="UK"/>
    <s v="London"/>
    <n v="73640"/>
    <n v="87"/>
    <d v="2023-10-22T00:00:00"/>
    <x v="1"/>
    <n v="2"/>
    <n v="6775"/>
  </r>
  <r>
    <x v="611"/>
    <s v="Name831"/>
    <s v="Surname831"/>
    <s v="user831@example.com"/>
    <s v="+18422421861"/>
    <n v="25"/>
    <s v="Female"/>
    <s v="India"/>
    <s v="New York"/>
    <n v="73612"/>
    <n v="97"/>
    <d v="2023-05-24T00:00:00"/>
    <x v="0"/>
    <n v="10"/>
    <n v="730"/>
  </r>
  <r>
    <x v="612"/>
    <s v="Name184"/>
    <s v="Surname184"/>
    <s v="user184@example.com"/>
    <s v="+14407319044"/>
    <n v="69"/>
    <s v="Female"/>
    <s v="Canada"/>
    <s v="London"/>
    <n v="73521"/>
    <n v="75"/>
    <d v="2023-08-14T00:00:00"/>
    <x v="2"/>
    <n v="4"/>
    <n v="5669"/>
  </r>
  <r>
    <x v="613"/>
    <s v="Name436"/>
    <s v="Surname436"/>
    <s v="user436@example.com"/>
    <s v="+18574493191"/>
    <n v="43"/>
    <s v="Other"/>
    <s v="USA"/>
    <s v="New York"/>
    <n v="73425"/>
    <n v="87"/>
    <d v="2023-11-07T00:00:00"/>
    <x v="1"/>
    <n v="8"/>
    <n v="7564"/>
  </r>
  <r>
    <x v="614"/>
    <s v="Name903"/>
    <s v="Surname903"/>
    <s v="user903@example.com"/>
    <s v="+19224325289"/>
    <n v="60"/>
    <s v="Other"/>
    <s v="India"/>
    <s v="New York"/>
    <n v="73324"/>
    <n v="6"/>
    <d v="2023-08-03T00:00:00"/>
    <x v="0"/>
    <n v="9"/>
    <n v="2817"/>
  </r>
  <r>
    <x v="615"/>
    <s v="Name120"/>
    <s v="Surname120"/>
    <s v="user120@example.com"/>
    <s v="+19861357757"/>
    <n v="53"/>
    <s v="Female"/>
    <s v="India"/>
    <s v="Sydney"/>
    <n v="73289"/>
    <n v="90"/>
    <d v="2023-01-11T00:00:00"/>
    <x v="1"/>
    <n v="5"/>
    <n v="2227"/>
  </r>
  <r>
    <x v="616"/>
    <s v="Name317"/>
    <s v="Surname317"/>
    <s v="user317@example.com"/>
    <s v="+16871517542"/>
    <n v="58"/>
    <s v="Other"/>
    <s v="Australia"/>
    <s v="Toronto"/>
    <n v="73257"/>
    <n v="13"/>
    <d v="2023-05-14T00:00:00"/>
    <x v="1"/>
    <n v="2"/>
    <n v="9908"/>
  </r>
  <r>
    <x v="617"/>
    <s v="Name599"/>
    <s v="Surname599"/>
    <s v="user599@example.com"/>
    <s v="+14846576366"/>
    <n v="66"/>
    <s v="Other"/>
    <s v="India"/>
    <s v="Toronto"/>
    <n v="73248"/>
    <n v="90"/>
    <d v="2023-01-21T00:00:00"/>
    <x v="1"/>
    <n v="10"/>
    <n v="1540"/>
  </r>
  <r>
    <x v="618"/>
    <s v="Name192"/>
    <s v="Surname192"/>
    <s v="user192@example.com"/>
    <s v="+19562038487"/>
    <n v="67"/>
    <s v="Other"/>
    <s v="UK"/>
    <s v="Toronto"/>
    <n v="73234"/>
    <n v="89"/>
    <d v="2023-12-06T00:00:00"/>
    <x v="0"/>
    <n v="2"/>
    <n v="3717"/>
  </r>
  <r>
    <x v="619"/>
    <s v="Name147"/>
    <s v="Surname147"/>
    <s v="user147@example.com"/>
    <s v="+19912345622"/>
    <n v="67"/>
    <s v="Female"/>
    <s v="Canada"/>
    <s v="London"/>
    <n v="73207"/>
    <n v="38"/>
    <d v="2023-04-15T00:00:00"/>
    <x v="2"/>
    <n v="10"/>
    <n v="9227"/>
  </r>
  <r>
    <x v="620"/>
    <s v="Name606"/>
    <s v="Surname606"/>
    <s v="user606@example.com"/>
    <s v="+14294375526"/>
    <n v="68"/>
    <s v="Female"/>
    <s v="UK"/>
    <s v="London"/>
    <n v="73193"/>
    <n v="13"/>
    <d v="2023-03-01T00:00:00"/>
    <x v="0"/>
    <n v="7"/>
    <n v="3347"/>
  </r>
  <r>
    <x v="621"/>
    <s v="Name76"/>
    <s v="Surname76"/>
    <s v="user76@example.com"/>
    <s v="+19849104207"/>
    <n v="52"/>
    <s v="Female"/>
    <s v="Australia"/>
    <s v="New York"/>
    <n v="72758"/>
    <n v="29"/>
    <d v="2023-12-27T00:00:00"/>
    <x v="0"/>
    <n v="3"/>
    <n v="3247"/>
  </r>
  <r>
    <x v="622"/>
    <s v="Name996"/>
    <s v="Surname996"/>
    <s v="user996@example.com"/>
    <s v="+11517724916"/>
    <n v="55"/>
    <s v="Female"/>
    <s v="Australia"/>
    <s v="London"/>
    <n v="72729"/>
    <n v="3"/>
    <d v="2023-01-09T00:00:00"/>
    <x v="2"/>
    <n v="10"/>
    <n v="8295"/>
  </r>
  <r>
    <x v="623"/>
    <s v="Name803"/>
    <s v="Surname803"/>
    <s v="user803@example.com"/>
    <s v="+17427514822"/>
    <n v="34"/>
    <s v="Other"/>
    <s v="Canada"/>
    <s v="New York"/>
    <n v="72585"/>
    <n v="69"/>
    <d v="2023-02-18T00:00:00"/>
    <x v="0"/>
    <n v="10"/>
    <n v="7190"/>
  </r>
  <r>
    <x v="624"/>
    <s v="Name954"/>
    <s v="Surname954"/>
    <s v="user954@example.com"/>
    <s v="+12016813322"/>
    <n v="39"/>
    <s v="Other"/>
    <s v="India"/>
    <s v="New York"/>
    <n v="72569"/>
    <n v="47"/>
    <d v="2023-08-14T00:00:00"/>
    <x v="1"/>
    <n v="8"/>
    <n v="5292"/>
  </r>
  <r>
    <x v="625"/>
    <s v="Name860"/>
    <s v="Surname860"/>
    <s v="user860@example.com"/>
    <s v="+15049279922"/>
    <n v="62"/>
    <s v="Female"/>
    <s v="UK"/>
    <s v="London"/>
    <n v="72451"/>
    <n v="1"/>
    <d v="2023-10-27T00:00:00"/>
    <x v="0"/>
    <n v="7"/>
    <n v="8831"/>
  </r>
  <r>
    <x v="626"/>
    <s v="Name984"/>
    <s v="Surname984"/>
    <s v="user984@example.com"/>
    <s v="+16626712904"/>
    <n v="55"/>
    <s v="Female"/>
    <s v="UK"/>
    <s v="Mumbai"/>
    <n v="72435"/>
    <n v="10"/>
    <d v="2023-12-14T00:00:00"/>
    <x v="2"/>
    <n v="6"/>
    <n v="8712"/>
  </r>
  <r>
    <x v="627"/>
    <s v="Name364"/>
    <s v="Surname364"/>
    <s v="user364@example.com"/>
    <s v="+11492010068"/>
    <n v="66"/>
    <s v="Male"/>
    <s v="UK"/>
    <s v="Toronto"/>
    <n v="72139"/>
    <n v="83"/>
    <d v="2023-12-18T00:00:00"/>
    <x v="1"/>
    <n v="9"/>
    <n v="4961"/>
  </r>
  <r>
    <x v="628"/>
    <s v="Name967"/>
    <s v="Surname967"/>
    <s v="user967@example.com"/>
    <s v="+11925750347"/>
    <n v="49"/>
    <s v="Female"/>
    <s v="UK"/>
    <s v="New York"/>
    <n v="72109"/>
    <n v="54"/>
    <d v="2023-07-17T00:00:00"/>
    <x v="0"/>
    <n v="8"/>
    <n v="6258"/>
  </r>
  <r>
    <x v="629"/>
    <s v="Name215"/>
    <s v="Surname215"/>
    <s v="user215@example.com"/>
    <s v="+18836083873"/>
    <n v="35"/>
    <s v="Female"/>
    <s v="India"/>
    <s v="New York"/>
    <n v="71997"/>
    <n v="90"/>
    <d v="2023-01-02T00:00:00"/>
    <x v="0"/>
    <n v="8"/>
    <n v="1444"/>
  </r>
  <r>
    <x v="630"/>
    <s v="Name361"/>
    <s v="Surname361"/>
    <s v="user361@example.com"/>
    <s v="+15116611661"/>
    <n v="55"/>
    <s v="Male"/>
    <s v="Australia"/>
    <s v="Sydney"/>
    <n v="71322"/>
    <n v="64"/>
    <d v="2023-10-17T00:00:00"/>
    <x v="1"/>
    <n v="6"/>
    <n v="9029"/>
  </r>
  <r>
    <x v="631"/>
    <s v="Name576"/>
    <s v="Surname576"/>
    <s v="user576@example.com"/>
    <s v="+11681248094"/>
    <n v="70"/>
    <s v="Male"/>
    <s v="India"/>
    <s v="New York"/>
    <n v="71085"/>
    <n v="33"/>
    <d v="2023-05-19T00:00:00"/>
    <x v="2"/>
    <n v="8"/>
    <n v="1633"/>
  </r>
  <r>
    <x v="632"/>
    <s v="Name905"/>
    <s v="Surname905"/>
    <s v="user905@example.com"/>
    <s v="+12408901413"/>
    <n v="64"/>
    <s v="Other"/>
    <s v="UK"/>
    <s v="New York"/>
    <n v="70927"/>
    <n v="55"/>
    <d v="2023-03-20T00:00:00"/>
    <x v="2"/>
    <n v="2"/>
    <n v="3251"/>
  </r>
  <r>
    <x v="633"/>
    <s v="Name791"/>
    <s v="Surname791"/>
    <s v="user791@example.com"/>
    <s v="+13373855516"/>
    <n v="47"/>
    <s v="Other"/>
    <s v="Australia"/>
    <s v="London"/>
    <n v="70601"/>
    <n v="36"/>
    <d v="2023-09-10T00:00:00"/>
    <x v="0"/>
    <n v="10"/>
    <n v="9015"/>
  </r>
  <r>
    <x v="634"/>
    <s v="Name636"/>
    <s v="Surname636"/>
    <s v="user636@example.com"/>
    <s v="+14608219485"/>
    <n v="47"/>
    <s v="Female"/>
    <s v="USA"/>
    <s v="Toronto"/>
    <n v="70240"/>
    <n v="66"/>
    <d v="2023-03-09T00:00:00"/>
    <x v="2"/>
    <n v="6"/>
    <n v="225"/>
  </r>
  <r>
    <x v="635"/>
    <s v="Name819"/>
    <s v="Surname819"/>
    <s v="user819@example.com"/>
    <s v="+13080415742"/>
    <n v="65"/>
    <s v="Other"/>
    <s v="Canada"/>
    <s v="Toronto"/>
    <n v="70137"/>
    <n v="26"/>
    <d v="2023-01-09T00:00:00"/>
    <x v="2"/>
    <n v="4"/>
    <n v="4625"/>
  </r>
  <r>
    <x v="636"/>
    <s v="Name729"/>
    <s v="Surname729"/>
    <s v="user729@example.com"/>
    <s v="+14418031041"/>
    <n v="64"/>
    <s v="Male"/>
    <s v="India"/>
    <s v="Mumbai"/>
    <n v="70026"/>
    <n v="18"/>
    <d v="2023-12-17T00:00:00"/>
    <x v="2"/>
    <n v="10"/>
    <n v="5558"/>
  </r>
  <r>
    <x v="637"/>
    <s v="Name872"/>
    <s v="Surname872"/>
    <s v="user872@example.com"/>
    <s v="+12364622788"/>
    <n v="34"/>
    <s v="Other"/>
    <s v="USA"/>
    <s v="London"/>
    <n v="69943"/>
    <n v="69"/>
    <d v="2023-09-21T00:00:00"/>
    <x v="1"/>
    <n v="6"/>
    <n v="4438"/>
  </r>
  <r>
    <x v="638"/>
    <s v="Name344"/>
    <s v="Surname344"/>
    <s v="user344@example.com"/>
    <s v="+14841663196"/>
    <n v="33"/>
    <s v="Other"/>
    <s v="Australia"/>
    <s v="Sydney"/>
    <n v="69918"/>
    <n v="81"/>
    <d v="2023-05-10T00:00:00"/>
    <x v="2"/>
    <n v="7"/>
    <n v="7188"/>
  </r>
  <r>
    <x v="639"/>
    <s v="Name302"/>
    <s v="Surname302"/>
    <s v="user302@example.com"/>
    <s v="+18005250087"/>
    <n v="28"/>
    <s v="Other"/>
    <s v="USA"/>
    <s v="New York"/>
    <n v="69715"/>
    <n v="41"/>
    <d v="2023-07-15T00:00:00"/>
    <x v="0"/>
    <n v="8"/>
    <n v="1236"/>
  </r>
  <r>
    <x v="640"/>
    <s v="Name88"/>
    <s v="Surname88"/>
    <s v="user88@example.com"/>
    <s v="+11667406098"/>
    <n v="67"/>
    <s v="Female"/>
    <s v="Australia"/>
    <s v="Sydney"/>
    <n v="69674"/>
    <n v="62"/>
    <d v="2023-02-28T00:00:00"/>
    <x v="2"/>
    <n v="1"/>
    <n v="9924"/>
  </r>
  <r>
    <x v="641"/>
    <s v="Name652"/>
    <s v="Surname652"/>
    <s v="user652@example.com"/>
    <s v="+17143312999"/>
    <n v="55"/>
    <s v="Male"/>
    <s v="USA"/>
    <s v="London"/>
    <n v="69374"/>
    <n v="79"/>
    <d v="2023-09-24T00:00:00"/>
    <x v="0"/>
    <n v="9"/>
    <n v="618"/>
  </r>
  <r>
    <x v="642"/>
    <s v="Name921"/>
    <s v="Surname921"/>
    <s v="user921@example.com"/>
    <s v="+12671276124"/>
    <n v="39"/>
    <s v="Male"/>
    <s v="UK"/>
    <s v="Toronto"/>
    <n v="69061"/>
    <n v="54"/>
    <d v="2023-11-06T00:00:00"/>
    <x v="1"/>
    <n v="5"/>
    <n v="9706"/>
  </r>
  <r>
    <x v="643"/>
    <s v="Name914"/>
    <s v="Surname914"/>
    <s v="user914@example.com"/>
    <s v="+15224009797"/>
    <n v="54"/>
    <s v="Female"/>
    <s v="Canada"/>
    <s v="London"/>
    <n v="69060"/>
    <n v="68"/>
    <d v="2023-09-04T00:00:00"/>
    <x v="2"/>
    <n v="1"/>
    <n v="2677"/>
  </r>
  <r>
    <x v="644"/>
    <s v="Name560"/>
    <s v="Surname560"/>
    <s v="user560@example.com"/>
    <s v="+16735753065"/>
    <n v="40"/>
    <s v="Male"/>
    <s v="India"/>
    <s v="Sydney"/>
    <n v="68911"/>
    <n v="77"/>
    <d v="2023-06-04T00:00:00"/>
    <x v="0"/>
    <n v="1"/>
    <n v="8754"/>
  </r>
  <r>
    <x v="645"/>
    <s v="Name568"/>
    <s v="Surname568"/>
    <s v="user568@example.com"/>
    <s v="+17213893599"/>
    <n v="55"/>
    <s v="Female"/>
    <s v="Canada"/>
    <s v="London"/>
    <n v="68805"/>
    <n v="6"/>
    <d v="2023-12-28T00:00:00"/>
    <x v="0"/>
    <n v="1"/>
    <n v="1253"/>
  </r>
  <r>
    <x v="646"/>
    <s v="Name549"/>
    <s v="Surname549"/>
    <s v="user549@example.com"/>
    <s v="+11378517445"/>
    <n v="19"/>
    <s v="Female"/>
    <s v="Canada"/>
    <s v="Mumbai"/>
    <n v="68781"/>
    <n v="35"/>
    <d v="2023-08-20T00:00:00"/>
    <x v="0"/>
    <n v="6"/>
    <n v="645"/>
  </r>
  <r>
    <x v="647"/>
    <s v="Name230"/>
    <s v="Surname230"/>
    <s v="user230@example.com"/>
    <s v="+11995248858"/>
    <n v="21"/>
    <s v="Female"/>
    <s v="Australia"/>
    <s v="Toronto"/>
    <n v="68767"/>
    <n v="100"/>
    <d v="2023-09-03T00:00:00"/>
    <x v="2"/>
    <n v="2"/>
    <n v="2485"/>
  </r>
  <r>
    <x v="648"/>
    <s v="Name258"/>
    <s v="Surname258"/>
    <s v="user258@example.com"/>
    <s v="+19376548213"/>
    <n v="25"/>
    <s v="Female"/>
    <s v="Canada"/>
    <s v="London"/>
    <n v="68694"/>
    <n v="55"/>
    <d v="2023-06-06T00:00:00"/>
    <x v="2"/>
    <n v="2"/>
    <n v="6329"/>
  </r>
  <r>
    <x v="649"/>
    <s v="Name976"/>
    <s v="Surname976"/>
    <s v="user976@example.com"/>
    <s v="+15229108255"/>
    <n v="22"/>
    <s v="Other"/>
    <s v="UK"/>
    <s v="London"/>
    <n v="68651"/>
    <n v="52"/>
    <d v="2023-12-07T00:00:00"/>
    <x v="0"/>
    <n v="10"/>
    <n v="5864"/>
  </r>
  <r>
    <x v="650"/>
    <s v="Name774"/>
    <s v="Surname774"/>
    <s v="user774@example.com"/>
    <s v="+15193408550"/>
    <n v="22"/>
    <s v="Other"/>
    <s v="Australia"/>
    <s v="London"/>
    <n v="68234"/>
    <n v="19"/>
    <d v="2023-04-23T00:00:00"/>
    <x v="2"/>
    <n v="1"/>
    <n v="8665"/>
  </r>
  <r>
    <x v="651"/>
    <s v="Name766"/>
    <s v="Surname766"/>
    <s v="user766@example.com"/>
    <s v="+17385771451"/>
    <n v="58"/>
    <s v="Female"/>
    <s v="Australia"/>
    <s v="Toronto"/>
    <n v="68159"/>
    <n v="42"/>
    <d v="2023-02-06T00:00:00"/>
    <x v="2"/>
    <n v="10"/>
    <n v="1905"/>
  </r>
  <r>
    <x v="652"/>
    <s v="Name374"/>
    <s v="Surname374"/>
    <s v="user374@example.com"/>
    <s v="+14829550432"/>
    <n v="54"/>
    <s v="Male"/>
    <s v="Australia"/>
    <s v="New York"/>
    <n v="68156"/>
    <n v="99"/>
    <d v="2023-09-13T00:00:00"/>
    <x v="1"/>
    <n v="4"/>
    <n v="9647"/>
  </r>
  <r>
    <x v="653"/>
    <s v="Name775"/>
    <s v="Surname775"/>
    <s v="user775@example.com"/>
    <s v="+12418797523"/>
    <n v="44"/>
    <s v="Female"/>
    <s v="Canada"/>
    <s v="Toronto"/>
    <n v="67702"/>
    <n v="56"/>
    <d v="2023-09-30T00:00:00"/>
    <x v="2"/>
    <n v="9"/>
    <n v="3538"/>
  </r>
  <r>
    <x v="654"/>
    <s v="Name148"/>
    <s v="Surname148"/>
    <s v="user148@example.com"/>
    <s v="+16315762698"/>
    <n v="35"/>
    <s v="Male"/>
    <s v="Australia"/>
    <s v="New York"/>
    <n v="67247"/>
    <n v="50"/>
    <d v="2023-07-06T00:00:00"/>
    <x v="0"/>
    <n v="4"/>
    <n v="8699"/>
  </r>
  <r>
    <x v="655"/>
    <s v="Name498"/>
    <s v="Surname498"/>
    <s v="user498@example.com"/>
    <s v="+14784337488"/>
    <n v="21"/>
    <s v="Female"/>
    <s v="USA"/>
    <s v="Toronto"/>
    <n v="67217"/>
    <n v="96"/>
    <d v="2023-04-26T00:00:00"/>
    <x v="0"/>
    <n v="1"/>
    <n v="6551"/>
  </r>
  <r>
    <x v="656"/>
    <s v="Name514"/>
    <s v="Surname514"/>
    <s v="user514@example.com"/>
    <s v="+18973385777"/>
    <n v="60"/>
    <s v="Male"/>
    <s v="Australia"/>
    <s v="London"/>
    <n v="66908"/>
    <n v="70"/>
    <d v="2023-08-11T00:00:00"/>
    <x v="2"/>
    <n v="9"/>
    <n v="7231"/>
  </r>
  <r>
    <x v="657"/>
    <s v="Name245"/>
    <s v="Surname245"/>
    <s v="user245@example.com"/>
    <s v="+19989757844"/>
    <n v="65"/>
    <s v="Other"/>
    <s v="USA"/>
    <s v="New York"/>
    <n v="66895"/>
    <n v="42"/>
    <d v="2023-12-22T00:00:00"/>
    <x v="2"/>
    <n v="1"/>
    <n v="102"/>
  </r>
  <r>
    <x v="658"/>
    <s v="Name806"/>
    <s v="Surname806"/>
    <s v="user806@example.com"/>
    <s v="+18415975087"/>
    <n v="37"/>
    <s v="Other"/>
    <s v="USA"/>
    <s v="London"/>
    <n v="66668"/>
    <n v="28"/>
    <d v="2023-05-02T00:00:00"/>
    <x v="2"/>
    <n v="1"/>
    <n v="2989"/>
  </r>
  <r>
    <x v="659"/>
    <s v="Name878"/>
    <s v="Surname878"/>
    <s v="user878@example.com"/>
    <s v="+18701697454"/>
    <n v="65"/>
    <s v="Male"/>
    <s v="Canada"/>
    <s v="Toronto"/>
    <n v="66585"/>
    <n v="46"/>
    <d v="2023-09-02T00:00:00"/>
    <x v="1"/>
    <n v="7"/>
    <n v="3309"/>
  </r>
  <r>
    <x v="660"/>
    <s v="Name972"/>
    <s v="Surname972"/>
    <s v="user972@example.com"/>
    <s v="+17955719620"/>
    <n v="24"/>
    <s v="Other"/>
    <s v="Canada"/>
    <s v="Sydney"/>
    <n v="66390"/>
    <n v="55"/>
    <d v="2023-06-30T00:00:00"/>
    <x v="0"/>
    <n v="6"/>
    <n v="6704"/>
  </r>
  <r>
    <x v="661"/>
    <s v="Name923"/>
    <s v="Surname923"/>
    <s v="user923@example.com"/>
    <s v="+16008660363"/>
    <n v="19"/>
    <s v="Female"/>
    <s v="Canada"/>
    <s v="Mumbai"/>
    <n v="66365"/>
    <n v="92"/>
    <d v="2023-05-02T00:00:00"/>
    <x v="1"/>
    <n v="6"/>
    <n v="2374"/>
  </r>
  <r>
    <x v="662"/>
    <s v="Name85"/>
    <s v="Surname85"/>
    <s v="user85@example.com"/>
    <s v="+15719396044"/>
    <n v="35"/>
    <s v="Other"/>
    <s v="USA"/>
    <s v="Sydney"/>
    <n v="66347"/>
    <n v="88"/>
    <d v="2023-04-11T00:00:00"/>
    <x v="0"/>
    <n v="8"/>
    <n v="7849"/>
  </r>
  <r>
    <x v="663"/>
    <s v="Name180"/>
    <s v="Surname180"/>
    <s v="user180@example.com"/>
    <s v="+15486383486"/>
    <n v="22"/>
    <s v="Female"/>
    <s v="Australia"/>
    <s v="Mumbai"/>
    <n v="66282"/>
    <n v="93"/>
    <d v="2023-03-13T00:00:00"/>
    <x v="0"/>
    <n v="7"/>
    <n v="5120"/>
  </r>
  <r>
    <x v="664"/>
    <s v="Name82"/>
    <s v="Surname82"/>
    <s v="user82@example.com"/>
    <s v="+15120154148"/>
    <n v="50"/>
    <s v="Male"/>
    <s v="India"/>
    <s v="London"/>
    <n v="66231"/>
    <n v="63"/>
    <d v="2023-03-03T00:00:00"/>
    <x v="0"/>
    <n v="7"/>
    <n v="2136"/>
  </r>
  <r>
    <x v="665"/>
    <s v="Name266"/>
    <s v="Surname266"/>
    <s v="user266@example.com"/>
    <s v="+13138697648"/>
    <n v="44"/>
    <s v="Male"/>
    <s v="Australia"/>
    <s v="Sydney"/>
    <n v="66130"/>
    <n v="50"/>
    <d v="2023-02-10T00:00:00"/>
    <x v="0"/>
    <n v="3"/>
    <n v="7505"/>
  </r>
  <r>
    <x v="666"/>
    <s v="Name504"/>
    <s v="Surname504"/>
    <s v="user504@example.com"/>
    <s v="+17904674250"/>
    <n v="50"/>
    <s v="Male"/>
    <s v="UK"/>
    <s v="London"/>
    <n v="66025"/>
    <n v="15"/>
    <d v="2023-09-02T00:00:00"/>
    <x v="0"/>
    <n v="9"/>
    <n v="1540"/>
  </r>
  <r>
    <x v="667"/>
    <s v="Name31"/>
    <s v="Surname31"/>
    <s v="user31@example.com"/>
    <s v="+19115543831"/>
    <n v="55"/>
    <s v="Male"/>
    <s v="Canada"/>
    <s v="Toronto"/>
    <n v="65993"/>
    <n v="73"/>
    <d v="2023-05-10T00:00:00"/>
    <x v="2"/>
    <n v="9"/>
    <n v="1474"/>
  </r>
  <r>
    <x v="668"/>
    <s v="Name146"/>
    <s v="Surname146"/>
    <s v="user146@example.com"/>
    <s v="+14161343582"/>
    <n v="61"/>
    <s v="Male"/>
    <s v="India"/>
    <s v="London"/>
    <n v="65980"/>
    <n v="38"/>
    <d v="2023-07-24T00:00:00"/>
    <x v="1"/>
    <n v="7"/>
    <n v="2931"/>
  </r>
  <r>
    <x v="669"/>
    <s v="Name835"/>
    <s v="Surname835"/>
    <s v="user835@example.com"/>
    <s v="+16292451737"/>
    <n v="48"/>
    <s v="Female"/>
    <s v="Canada"/>
    <s v="Mumbai"/>
    <n v="65913"/>
    <n v="58"/>
    <d v="2023-08-29T00:00:00"/>
    <x v="2"/>
    <n v="3"/>
    <n v="9135"/>
  </r>
  <r>
    <x v="670"/>
    <s v="Name542"/>
    <s v="Surname542"/>
    <s v="user542@example.com"/>
    <s v="+16985377924"/>
    <n v="27"/>
    <s v="Female"/>
    <s v="India"/>
    <s v="London"/>
    <n v="65881"/>
    <n v="21"/>
    <d v="2023-12-10T00:00:00"/>
    <x v="2"/>
    <n v="7"/>
    <n v="1024"/>
  </r>
  <r>
    <x v="671"/>
    <s v="Name399"/>
    <s v="Surname399"/>
    <s v="user399@example.com"/>
    <s v="+16240453028"/>
    <n v="34"/>
    <s v="Female"/>
    <s v="UK"/>
    <s v="Sydney"/>
    <n v="65634"/>
    <n v="36"/>
    <d v="2023-03-26T00:00:00"/>
    <x v="0"/>
    <n v="5"/>
    <n v="1356"/>
  </r>
  <r>
    <x v="672"/>
    <s v="Name768"/>
    <s v="Surname768"/>
    <s v="user768@example.com"/>
    <s v="+12960165928"/>
    <n v="55"/>
    <s v="Other"/>
    <s v="Australia"/>
    <s v="London"/>
    <n v="65634"/>
    <n v="98"/>
    <d v="2023-11-14T00:00:00"/>
    <x v="0"/>
    <n v="5"/>
    <n v="5752"/>
  </r>
  <r>
    <x v="673"/>
    <s v="Name570"/>
    <s v="Surname570"/>
    <s v="user570@example.com"/>
    <s v="+12545561181"/>
    <n v="40"/>
    <s v="Male"/>
    <s v="India"/>
    <s v="London"/>
    <n v="65529"/>
    <n v="34"/>
    <d v="2023-04-15T00:00:00"/>
    <x v="2"/>
    <n v="5"/>
    <n v="9870"/>
  </r>
  <r>
    <x v="674"/>
    <s v="Name434"/>
    <s v="Surname434"/>
    <s v="user434@example.com"/>
    <s v="+14851544518"/>
    <n v="37"/>
    <s v="Other"/>
    <s v="USA"/>
    <s v="New York"/>
    <n v="65490"/>
    <n v="47"/>
    <d v="2023-07-03T00:00:00"/>
    <x v="2"/>
    <n v="1"/>
    <n v="1713"/>
  </r>
  <r>
    <x v="675"/>
    <s v="Name204"/>
    <s v="Surname204"/>
    <s v="user204@example.com"/>
    <s v="+14233685954"/>
    <n v="50"/>
    <s v="Female"/>
    <s v="Australia"/>
    <s v="Toronto"/>
    <n v="64717"/>
    <n v="46"/>
    <d v="2023-12-16T00:00:00"/>
    <x v="1"/>
    <n v="8"/>
    <n v="8121"/>
  </r>
  <r>
    <x v="676"/>
    <s v="Name117"/>
    <s v="Surname117"/>
    <s v="user117@example.com"/>
    <s v="+18539951752"/>
    <n v="32"/>
    <s v="Male"/>
    <s v="UK"/>
    <s v="New York"/>
    <n v="64654"/>
    <n v="63"/>
    <d v="2023-04-09T00:00:00"/>
    <x v="0"/>
    <n v="2"/>
    <n v="1646"/>
  </r>
  <r>
    <x v="677"/>
    <s v="Name471"/>
    <s v="Surname471"/>
    <s v="user471@example.com"/>
    <s v="+11452174578"/>
    <n v="53"/>
    <s v="Other"/>
    <s v="UK"/>
    <s v="Sydney"/>
    <n v="64410"/>
    <n v="36"/>
    <d v="2023-08-27T00:00:00"/>
    <x v="1"/>
    <n v="6"/>
    <n v="8524"/>
  </r>
  <r>
    <x v="678"/>
    <s v="Name832"/>
    <s v="Surname832"/>
    <s v="user832@example.com"/>
    <s v="+16287731388"/>
    <n v="27"/>
    <s v="Male"/>
    <s v="USA"/>
    <s v="New York"/>
    <n v="64377"/>
    <n v="13"/>
    <d v="2023-01-01T00:00:00"/>
    <x v="1"/>
    <n v="4"/>
    <n v="3897"/>
  </r>
  <r>
    <x v="679"/>
    <s v="Name761"/>
    <s v="Surname761"/>
    <s v="user761@example.com"/>
    <s v="+16661113669"/>
    <n v="18"/>
    <s v="Female"/>
    <s v="Australia"/>
    <s v="Toronto"/>
    <n v="64024"/>
    <n v="88"/>
    <d v="2023-11-29T00:00:00"/>
    <x v="0"/>
    <n v="1"/>
    <n v="1790"/>
  </r>
  <r>
    <x v="680"/>
    <s v="Name722"/>
    <s v="Surname722"/>
    <s v="user722@example.com"/>
    <s v="+18869007314"/>
    <n v="58"/>
    <s v="Female"/>
    <s v="Canada"/>
    <s v="Toronto"/>
    <n v="63774"/>
    <n v="6"/>
    <d v="2023-11-12T00:00:00"/>
    <x v="2"/>
    <n v="2"/>
    <n v="5074"/>
  </r>
  <r>
    <x v="681"/>
    <s v="Name971"/>
    <s v="Surname971"/>
    <s v="user971@example.com"/>
    <s v="+11428248736"/>
    <n v="65"/>
    <s v="Other"/>
    <s v="USA"/>
    <s v="Sydney"/>
    <n v="63602"/>
    <n v="31"/>
    <d v="2023-12-29T00:00:00"/>
    <x v="2"/>
    <n v="3"/>
    <n v="5361"/>
  </r>
  <r>
    <x v="682"/>
    <s v="Name741"/>
    <s v="Surname741"/>
    <s v="user741@example.com"/>
    <s v="+11810224972"/>
    <n v="51"/>
    <s v="Male"/>
    <s v="Australia"/>
    <s v="Toronto"/>
    <n v="63422"/>
    <n v="61"/>
    <d v="2023-03-15T00:00:00"/>
    <x v="2"/>
    <n v="6"/>
    <n v="4494"/>
  </r>
  <r>
    <x v="683"/>
    <s v="Name944"/>
    <s v="Surname944"/>
    <s v="user944@example.com"/>
    <s v="+13985108539"/>
    <n v="24"/>
    <s v="Male"/>
    <s v="Canada"/>
    <s v="New York"/>
    <n v="63320"/>
    <n v="4"/>
    <d v="2023-05-30T00:00:00"/>
    <x v="0"/>
    <n v="9"/>
    <n v="610"/>
  </r>
  <r>
    <x v="684"/>
    <s v="Name70"/>
    <s v="Surname70"/>
    <s v="user70@example.com"/>
    <s v="+18931944375"/>
    <n v="66"/>
    <s v="Other"/>
    <s v="UK"/>
    <s v="New York"/>
    <n v="63160"/>
    <n v="43"/>
    <d v="2023-02-24T00:00:00"/>
    <x v="0"/>
    <n v="10"/>
    <n v="1702"/>
  </r>
  <r>
    <x v="685"/>
    <s v="Name29"/>
    <s v="Surname29"/>
    <s v="user29@example.com"/>
    <s v="+13104570586"/>
    <n v="56"/>
    <s v="Female"/>
    <s v="India"/>
    <s v="New York"/>
    <n v="63016"/>
    <n v="0"/>
    <d v="2023-06-29T00:00:00"/>
    <x v="0"/>
    <n v="7"/>
    <n v="5003"/>
  </r>
  <r>
    <x v="686"/>
    <s v="Name87"/>
    <s v="Surname87"/>
    <s v="user87@example.com"/>
    <s v="+12375024760"/>
    <n v="31"/>
    <s v="Male"/>
    <s v="India"/>
    <s v="Toronto"/>
    <n v="62845"/>
    <n v="21"/>
    <d v="2023-06-01T00:00:00"/>
    <x v="2"/>
    <n v="5"/>
    <n v="2270"/>
  </r>
  <r>
    <x v="687"/>
    <s v="Name947"/>
    <s v="Surname947"/>
    <s v="user947@example.com"/>
    <s v="+11488987793"/>
    <n v="65"/>
    <s v="Male"/>
    <s v="USA"/>
    <s v="Sydney"/>
    <n v="62682"/>
    <n v="1"/>
    <d v="2023-01-21T00:00:00"/>
    <x v="0"/>
    <n v="9"/>
    <n v="8311"/>
  </r>
  <r>
    <x v="688"/>
    <s v="Name77"/>
    <s v="Surname77"/>
    <s v="user77@example.com"/>
    <s v="+19301457816"/>
    <n v="38"/>
    <s v="Other"/>
    <s v="UK"/>
    <s v="Sydney"/>
    <n v="62642"/>
    <n v="46"/>
    <d v="2023-06-20T00:00:00"/>
    <x v="2"/>
    <n v="6"/>
    <n v="498"/>
  </r>
  <r>
    <x v="689"/>
    <s v="Name467"/>
    <s v="Surname467"/>
    <s v="user467@example.com"/>
    <s v="+11291813250"/>
    <n v="19"/>
    <s v="Male"/>
    <s v="UK"/>
    <s v="Mumbai"/>
    <n v="62611"/>
    <n v="17"/>
    <d v="2023-09-30T00:00:00"/>
    <x v="1"/>
    <n v="10"/>
    <n v="5039"/>
  </r>
  <r>
    <x v="690"/>
    <s v="Name64"/>
    <s v="Surname64"/>
    <s v="user64@example.com"/>
    <s v="+15229683778"/>
    <n v="29"/>
    <s v="Male"/>
    <s v="Canada"/>
    <s v="New York"/>
    <n v="62475"/>
    <n v="36"/>
    <d v="2023-01-14T00:00:00"/>
    <x v="2"/>
    <n v="8"/>
    <n v="5139"/>
  </r>
  <r>
    <x v="691"/>
    <s v="Name485"/>
    <s v="Surname485"/>
    <s v="user485@example.com"/>
    <s v="+16032712627"/>
    <n v="31"/>
    <s v="Other"/>
    <s v="USA"/>
    <s v="Sydney"/>
    <n v="61964"/>
    <n v="89"/>
    <d v="2023-09-02T00:00:00"/>
    <x v="2"/>
    <n v="8"/>
    <n v="3305"/>
  </r>
  <r>
    <x v="692"/>
    <s v="Name476"/>
    <s v="Surname476"/>
    <s v="user476@example.com"/>
    <s v="+11715912825"/>
    <n v="24"/>
    <s v="Female"/>
    <s v="Australia"/>
    <s v="Mumbai"/>
    <n v="61913"/>
    <n v="17"/>
    <d v="2023-12-01T00:00:00"/>
    <x v="0"/>
    <n v="4"/>
    <n v="7172"/>
  </r>
  <r>
    <x v="693"/>
    <s v="Name942"/>
    <s v="Surname942"/>
    <s v="user942@example.com"/>
    <s v="+13047241071"/>
    <n v="18"/>
    <s v="Male"/>
    <s v="UK"/>
    <s v="New York"/>
    <n v="61637"/>
    <n v="44"/>
    <d v="2023-02-10T00:00:00"/>
    <x v="2"/>
    <n v="8"/>
    <n v="7265"/>
  </r>
  <r>
    <x v="694"/>
    <s v="Name658"/>
    <s v="Surname658"/>
    <s v="user658@example.com"/>
    <s v="+18983641592"/>
    <n v="55"/>
    <s v="Male"/>
    <s v="Canada"/>
    <s v="Toronto"/>
    <n v="61616"/>
    <n v="7"/>
    <d v="2023-06-24T00:00:00"/>
    <x v="2"/>
    <n v="4"/>
    <n v="7012"/>
  </r>
  <r>
    <x v="695"/>
    <s v="Name998"/>
    <s v="Surname998"/>
    <s v="user998@example.com"/>
    <s v="+15400558203"/>
    <n v="28"/>
    <s v="Other"/>
    <s v="UK"/>
    <s v="Sydney"/>
    <n v="61509"/>
    <n v="70"/>
    <d v="2023-05-11T00:00:00"/>
    <x v="2"/>
    <n v="4"/>
    <n v="9239"/>
  </r>
  <r>
    <x v="696"/>
    <s v="Name244"/>
    <s v="Surname244"/>
    <s v="user244@example.com"/>
    <s v="+18779312809"/>
    <n v="44"/>
    <s v="Female"/>
    <s v="UK"/>
    <s v="Mumbai"/>
    <n v="61504"/>
    <n v="41"/>
    <d v="2023-08-17T00:00:00"/>
    <x v="1"/>
    <n v="2"/>
    <n v="3567"/>
  </r>
  <r>
    <x v="697"/>
    <s v="Name134"/>
    <s v="Surname134"/>
    <s v="user134@example.com"/>
    <s v="+13585321456"/>
    <n v="20"/>
    <s v="Female"/>
    <s v="India"/>
    <s v="London"/>
    <n v="61328"/>
    <n v="47"/>
    <d v="2023-05-11T00:00:00"/>
    <x v="2"/>
    <n v="6"/>
    <n v="4200"/>
  </r>
  <r>
    <x v="698"/>
    <s v="Name261"/>
    <s v="Surname261"/>
    <s v="user261@example.com"/>
    <s v="+12502701387"/>
    <n v="53"/>
    <s v="Other"/>
    <s v="USA"/>
    <s v="Toronto"/>
    <n v="61199"/>
    <n v="24"/>
    <d v="2023-09-02T00:00:00"/>
    <x v="1"/>
    <n v="4"/>
    <n v="7363"/>
  </r>
  <r>
    <x v="699"/>
    <s v="Name426"/>
    <s v="Surname426"/>
    <s v="user426@example.com"/>
    <s v="+15658919901"/>
    <n v="45"/>
    <s v="Other"/>
    <s v="India"/>
    <s v="Toronto"/>
    <n v="61099"/>
    <n v="3"/>
    <d v="2023-03-09T00:00:00"/>
    <x v="0"/>
    <n v="2"/>
    <n v="7709"/>
  </r>
  <r>
    <x v="700"/>
    <s v="Name362"/>
    <s v="Surname362"/>
    <s v="user362@example.com"/>
    <s v="+17786591648"/>
    <n v="29"/>
    <s v="Female"/>
    <s v="India"/>
    <s v="Mumbai"/>
    <n v="60990"/>
    <n v="22"/>
    <d v="2023-03-24T00:00:00"/>
    <x v="2"/>
    <n v="5"/>
    <n v="3429"/>
  </r>
  <r>
    <x v="701"/>
    <s v="Name989"/>
    <s v="Surname989"/>
    <s v="user989@example.com"/>
    <s v="+13806049642"/>
    <n v="42"/>
    <s v="Other"/>
    <s v="UK"/>
    <s v="New York"/>
    <n v="60655"/>
    <n v="91"/>
    <d v="2023-07-27T00:00:00"/>
    <x v="0"/>
    <n v="3"/>
    <n v="972"/>
  </r>
  <r>
    <x v="702"/>
    <s v="Name68"/>
    <s v="Surname68"/>
    <s v="user68@example.com"/>
    <s v="+11062548193"/>
    <n v="42"/>
    <s v="Male"/>
    <s v="UK"/>
    <s v="New York"/>
    <n v="60487"/>
    <n v="27"/>
    <d v="2023-03-07T00:00:00"/>
    <x v="1"/>
    <n v="5"/>
    <n v="8933"/>
  </r>
  <r>
    <x v="703"/>
    <s v="Name691"/>
    <s v="Surname691"/>
    <s v="user691@example.com"/>
    <s v="+14613036115"/>
    <n v="37"/>
    <s v="Other"/>
    <s v="Australia"/>
    <s v="Mumbai"/>
    <n v="60456"/>
    <n v="27"/>
    <d v="2023-05-31T00:00:00"/>
    <x v="0"/>
    <n v="9"/>
    <n v="3013"/>
  </r>
  <r>
    <x v="704"/>
    <s v="Name272"/>
    <s v="Surname272"/>
    <s v="user272@example.com"/>
    <s v="+11881946624"/>
    <n v="36"/>
    <s v="Other"/>
    <s v="Canada"/>
    <s v="Sydney"/>
    <n v="60224"/>
    <n v="2"/>
    <d v="2023-09-11T00:00:00"/>
    <x v="2"/>
    <n v="6"/>
    <n v="4762"/>
  </r>
  <r>
    <x v="705"/>
    <s v="Name595"/>
    <s v="Surname595"/>
    <s v="user595@example.com"/>
    <s v="+12643127846"/>
    <n v="43"/>
    <s v="Other"/>
    <s v="India"/>
    <s v="Mumbai"/>
    <n v="60193"/>
    <n v="100"/>
    <d v="2023-04-17T00:00:00"/>
    <x v="1"/>
    <n v="4"/>
    <n v="5282"/>
  </r>
  <r>
    <x v="706"/>
    <s v="Name980"/>
    <s v="Surname980"/>
    <s v="user980@example.com"/>
    <s v="+17542249666"/>
    <n v="64"/>
    <s v="Female"/>
    <s v="Canada"/>
    <s v="Sydney"/>
    <n v="59665"/>
    <n v="63"/>
    <d v="2023-04-11T00:00:00"/>
    <x v="0"/>
    <n v="8"/>
    <n v="5673"/>
  </r>
  <r>
    <x v="707"/>
    <s v="Name847"/>
    <s v="Surname847"/>
    <s v="user847@example.com"/>
    <s v="+16129801960"/>
    <n v="20"/>
    <s v="Male"/>
    <s v="UK"/>
    <s v="Toronto"/>
    <n v="59622"/>
    <n v="44"/>
    <d v="2023-10-30T00:00:00"/>
    <x v="0"/>
    <n v="7"/>
    <n v="4033"/>
  </r>
  <r>
    <x v="708"/>
    <s v="Name688"/>
    <s v="Surname688"/>
    <s v="user688@example.com"/>
    <s v="+15896853064"/>
    <n v="53"/>
    <s v="Female"/>
    <s v="UK"/>
    <s v="London"/>
    <n v="59471"/>
    <n v="81"/>
    <d v="2023-03-09T00:00:00"/>
    <x v="0"/>
    <n v="8"/>
    <n v="6349"/>
  </r>
  <r>
    <x v="709"/>
    <s v="Name909"/>
    <s v="Surname909"/>
    <s v="user909@example.com"/>
    <s v="+14821671845"/>
    <n v="24"/>
    <s v="Female"/>
    <s v="Canada"/>
    <s v="Mumbai"/>
    <n v="59447"/>
    <n v="38"/>
    <d v="2023-10-12T00:00:00"/>
    <x v="0"/>
    <n v="9"/>
    <n v="6161"/>
  </r>
  <r>
    <x v="710"/>
    <s v="Name131"/>
    <s v="Surname131"/>
    <s v="user131@example.com"/>
    <s v="+19980420854"/>
    <n v="46"/>
    <s v="Female"/>
    <s v="India"/>
    <s v="Toronto"/>
    <n v="59344"/>
    <n v="80"/>
    <d v="2023-02-15T00:00:00"/>
    <x v="0"/>
    <n v="7"/>
    <n v="2346"/>
  </r>
  <r>
    <x v="711"/>
    <s v="Name221"/>
    <s v="Surname221"/>
    <s v="user221@example.com"/>
    <s v="+17894874284"/>
    <n v="56"/>
    <s v="Other"/>
    <s v="Canada"/>
    <s v="New York"/>
    <n v="59282"/>
    <n v="37"/>
    <d v="2023-06-10T00:00:00"/>
    <x v="0"/>
    <n v="6"/>
    <n v="9847"/>
  </r>
  <r>
    <x v="712"/>
    <s v="Name915"/>
    <s v="Surname915"/>
    <s v="user915@example.com"/>
    <s v="+11736096191"/>
    <n v="25"/>
    <s v="Male"/>
    <s v="USA"/>
    <s v="New York"/>
    <n v="59215"/>
    <n v="98"/>
    <d v="2023-03-01T00:00:00"/>
    <x v="2"/>
    <n v="2"/>
    <n v="3063"/>
  </r>
  <r>
    <x v="713"/>
    <s v="Name704"/>
    <s v="Surname704"/>
    <s v="user704@example.com"/>
    <s v="+14154989651"/>
    <n v="47"/>
    <s v="Female"/>
    <s v="USA"/>
    <s v="Mumbai"/>
    <n v="59177"/>
    <n v="88"/>
    <d v="2023-05-01T00:00:00"/>
    <x v="1"/>
    <n v="7"/>
    <n v="2957"/>
  </r>
  <r>
    <x v="714"/>
    <s v="Name313"/>
    <s v="Surname313"/>
    <s v="user313@example.com"/>
    <s v="+13879330962"/>
    <n v="70"/>
    <s v="Male"/>
    <s v="Australia"/>
    <s v="London"/>
    <n v="59093"/>
    <n v="13"/>
    <d v="2023-02-13T00:00:00"/>
    <x v="0"/>
    <n v="1"/>
    <n v="7932"/>
  </r>
  <r>
    <x v="715"/>
    <s v="Name332"/>
    <s v="Surname332"/>
    <s v="user332@example.com"/>
    <s v="+14218620450"/>
    <n v="57"/>
    <s v="Other"/>
    <s v="Australia"/>
    <s v="London"/>
    <n v="58794"/>
    <n v="37"/>
    <d v="2023-10-01T00:00:00"/>
    <x v="0"/>
    <n v="3"/>
    <n v="8213"/>
  </r>
  <r>
    <x v="716"/>
    <s v="Name135"/>
    <s v="Surname135"/>
    <s v="user135@example.com"/>
    <s v="+14394857467"/>
    <n v="27"/>
    <s v="Female"/>
    <s v="USA"/>
    <s v="Mumbai"/>
    <n v="58716"/>
    <n v="7"/>
    <d v="2023-05-09T00:00:00"/>
    <x v="2"/>
    <n v="5"/>
    <n v="313"/>
  </r>
  <r>
    <x v="717"/>
    <s v="Name38"/>
    <s v="Surname38"/>
    <s v="user38@example.com"/>
    <s v="+11196258903"/>
    <n v="56"/>
    <s v="Male"/>
    <s v="UK"/>
    <s v="New York"/>
    <n v="58690"/>
    <n v="78"/>
    <d v="2023-01-12T00:00:00"/>
    <x v="2"/>
    <n v="5"/>
    <n v="7614"/>
  </r>
  <r>
    <x v="718"/>
    <s v="Name450"/>
    <s v="Surname450"/>
    <s v="user450@example.com"/>
    <s v="+13261520773"/>
    <n v="53"/>
    <s v="Other"/>
    <s v="India"/>
    <s v="New York"/>
    <n v="58679"/>
    <n v="33"/>
    <d v="2023-01-09T00:00:00"/>
    <x v="1"/>
    <n v="10"/>
    <n v="75"/>
  </r>
  <r>
    <x v="719"/>
    <s v="Name532"/>
    <s v="Surname532"/>
    <s v="user532@example.com"/>
    <s v="+15112527916"/>
    <n v="53"/>
    <s v="Other"/>
    <s v="Canada"/>
    <s v="Sydney"/>
    <n v="58643"/>
    <n v="17"/>
    <d v="2023-08-06T00:00:00"/>
    <x v="0"/>
    <n v="8"/>
    <n v="8937"/>
  </r>
  <r>
    <x v="720"/>
    <s v="Name380"/>
    <s v="Surname380"/>
    <s v="user380@example.com"/>
    <s v="+17896927727"/>
    <n v="53"/>
    <s v="Other"/>
    <s v="USA"/>
    <s v="Sydney"/>
    <n v="58631"/>
    <n v="61"/>
    <d v="2023-09-10T00:00:00"/>
    <x v="0"/>
    <n v="5"/>
    <n v="5559"/>
  </r>
  <r>
    <x v="721"/>
    <s v="Name783"/>
    <s v="Surname783"/>
    <s v="user783@example.com"/>
    <s v="+12163399957"/>
    <n v="26"/>
    <s v="Male"/>
    <s v="Canada"/>
    <s v="Mumbai"/>
    <n v="58570"/>
    <n v="8"/>
    <d v="2023-02-26T00:00:00"/>
    <x v="1"/>
    <n v="4"/>
    <n v="5778"/>
  </r>
  <r>
    <x v="722"/>
    <s v="Name149"/>
    <s v="Surname149"/>
    <s v="user149@example.com"/>
    <s v="+13811884980"/>
    <n v="20"/>
    <s v="Female"/>
    <s v="Canada"/>
    <s v="Mumbai"/>
    <n v="58562"/>
    <n v="3"/>
    <d v="2023-08-14T00:00:00"/>
    <x v="1"/>
    <n v="4"/>
    <n v="9915"/>
  </r>
  <r>
    <x v="723"/>
    <s v="Name116"/>
    <s v="Surname116"/>
    <s v="user116@example.com"/>
    <s v="+14072510221"/>
    <n v="64"/>
    <s v="Other"/>
    <s v="UK"/>
    <s v="London"/>
    <n v="58299"/>
    <n v="41"/>
    <d v="2023-10-02T00:00:00"/>
    <x v="0"/>
    <n v="3"/>
    <n v="2986"/>
  </r>
  <r>
    <x v="724"/>
    <s v="Name667"/>
    <s v="Surname667"/>
    <s v="user667@example.com"/>
    <s v="+11896187521"/>
    <n v="65"/>
    <s v="Other"/>
    <s v="UK"/>
    <s v="New York"/>
    <n v="58258"/>
    <n v="51"/>
    <d v="2023-07-13T00:00:00"/>
    <x v="0"/>
    <n v="3"/>
    <n v="1086"/>
  </r>
  <r>
    <x v="725"/>
    <s v="Name890"/>
    <s v="Surname890"/>
    <s v="user890@example.com"/>
    <s v="+11414857357"/>
    <n v="52"/>
    <s v="Other"/>
    <s v="Canada"/>
    <s v="London"/>
    <n v="57776"/>
    <n v="89"/>
    <d v="2023-12-29T00:00:00"/>
    <x v="1"/>
    <n v="8"/>
    <n v="1991"/>
  </r>
  <r>
    <x v="726"/>
    <s v="Name325"/>
    <s v="Surname325"/>
    <s v="user325@example.com"/>
    <s v="+17690807540"/>
    <n v="18"/>
    <s v="Other"/>
    <s v="Canada"/>
    <s v="London"/>
    <n v="57742"/>
    <n v="6"/>
    <d v="2023-10-05T00:00:00"/>
    <x v="1"/>
    <n v="2"/>
    <n v="419"/>
  </r>
  <r>
    <x v="727"/>
    <s v="Name232"/>
    <s v="Surname232"/>
    <s v="user232@example.com"/>
    <s v="+12933370632"/>
    <n v="51"/>
    <s v="Male"/>
    <s v="Australia"/>
    <s v="Toronto"/>
    <n v="57703"/>
    <n v="84"/>
    <d v="2023-01-31T00:00:00"/>
    <x v="0"/>
    <n v="9"/>
    <n v="5395"/>
  </r>
  <r>
    <x v="728"/>
    <s v="Name353"/>
    <s v="Surname353"/>
    <s v="user353@example.com"/>
    <s v="+16325263224"/>
    <n v="30"/>
    <s v="Female"/>
    <s v="USA"/>
    <s v="New York"/>
    <n v="57538"/>
    <n v="92"/>
    <d v="2023-10-05T00:00:00"/>
    <x v="0"/>
    <n v="3"/>
    <n v="6433"/>
  </r>
  <r>
    <x v="729"/>
    <s v="Name345"/>
    <s v="Surname345"/>
    <s v="user345@example.com"/>
    <s v="+18887543245"/>
    <n v="41"/>
    <s v="Female"/>
    <s v="USA"/>
    <s v="Sydney"/>
    <n v="57309"/>
    <n v="82"/>
    <d v="2023-06-18T00:00:00"/>
    <x v="0"/>
    <n v="6"/>
    <n v="4616"/>
  </r>
  <r>
    <x v="730"/>
    <s v="Name596"/>
    <s v="Surname596"/>
    <s v="user596@example.com"/>
    <s v="+13173707249"/>
    <n v="40"/>
    <s v="Male"/>
    <s v="Australia"/>
    <s v="Toronto"/>
    <n v="57294"/>
    <n v="2"/>
    <d v="2023-07-08T00:00:00"/>
    <x v="1"/>
    <n v="3"/>
    <n v="2095"/>
  </r>
  <r>
    <x v="731"/>
    <s v="Name753"/>
    <s v="Surname753"/>
    <s v="user753@example.com"/>
    <s v="+19859585838"/>
    <n v="30"/>
    <s v="Other"/>
    <s v="UK"/>
    <s v="Toronto"/>
    <n v="57161"/>
    <n v="75"/>
    <d v="2023-09-16T00:00:00"/>
    <x v="1"/>
    <n v="10"/>
    <n v="7770"/>
  </r>
  <r>
    <x v="732"/>
    <s v="Name672"/>
    <s v="Surname672"/>
    <s v="user672@example.com"/>
    <s v="+19591744265"/>
    <n v="54"/>
    <s v="Female"/>
    <s v="Canada"/>
    <s v="Sydney"/>
    <n v="57040"/>
    <n v="82"/>
    <d v="2023-01-22T00:00:00"/>
    <x v="2"/>
    <n v="4"/>
    <n v="7273"/>
  </r>
  <r>
    <x v="733"/>
    <s v="Name955"/>
    <s v="Surname955"/>
    <s v="user955@example.com"/>
    <s v="+19441963056"/>
    <n v="49"/>
    <s v="Male"/>
    <s v="Australia"/>
    <s v="London"/>
    <n v="56660"/>
    <n v="79"/>
    <d v="2023-12-14T00:00:00"/>
    <x v="0"/>
    <n v="10"/>
    <n v="323"/>
  </r>
  <r>
    <x v="734"/>
    <s v="Name236"/>
    <s v="Surname236"/>
    <s v="user236@example.com"/>
    <s v="+18225864977"/>
    <n v="64"/>
    <s v="Female"/>
    <s v="USA"/>
    <s v="Mumbai"/>
    <n v="56645"/>
    <n v="48"/>
    <d v="2023-11-26T00:00:00"/>
    <x v="1"/>
    <n v="9"/>
    <n v="2466"/>
  </r>
  <r>
    <x v="735"/>
    <s v="Name7"/>
    <s v="Surname7"/>
    <s v="user7@example.com"/>
    <s v="+14779696925"/>
    <n v="58"/>
    <s v="Male"/>
    <s v="USA"/>
    <s v="Toronto"/>
    <n v="56603"/>
    <n v="66"/>
    <d v="2023-01-11T00:00:00"/>
    <x v="2"/>
    <n v="7"/>
    <n v="7438"/>
  </r>
  <r>
    <x v="736"/>
    <s v="Name523"/>
    <s v="Surname523"/>
    <s v="user523@example.com"/>
    <s v="+13464485522"/>
    <n v="24"/>
    <s v="Other"/>
    <s v="UK"/>
    <s v="New York"/>
    <n v="56553"/>
    <n v="45"/>
    <d v="2023-06-28T00:00:00"/>
    <x v="1"/>
    <n v="6"/>
    <n v="9947"/>
  </r>
  <r>
    <x v="737"/>
    <s v="Name917"/>
    <s v="Surname917"/>
    <s v="user917@example.com"/>
    <s v="+17809886971"/>
    <n v="46"/>
    <s v="Male"/>
    <s v="Australia"/>
    <s v="New York"/>
    <n v="56290"/>
    <n v="72"/>
    <d v="2023-09-24T00:00:00"/>
    <x v="0"/>
    <n v="5"/>
    <n v="9719"/>
  </r>
  <r>
    <x v="738"/>
    <s v="Name441"/>
    <s v="Surname441"/>
    <s v="user441@example.com"/>
    <s v="+14883517515"/>
    <n v="54"/>
    <s v="Male"/>
    <s v="Australia"/>
    <s v="New York"/>
    <n v="55975"/>
    <n v="9"/>
    <d v="2023-02-08T00:00:00"/>
    <x v="1"/>
    <n v="9"/>
    <n v="3310"/>
  </r>
  <r>
    <x v="739"/>
    <s v="Name973"/>
    <s v="Surname973"/>
    <s v="user973@example.com"/>
    <s v="+16031963571"/>
    <n v="68"/>
    <s v="Other"/>
    <s v="UK"/>
    <s v="Sydney"/>
    <n v="55880"/>
    <n v="21"/>
    <d v="2023-02-18T00:00:00"/>
    <x v="2"/>
    <n v="10"/>
    <n v="3438"/>
  </r>
  <r>
    <x v="740"/>
    <s v="Name509"/>
    <s v="Surname509"/>
    <s v="user509@example.com"/>
    <s v="+13735299510"/>
    <n v="70"/>
    <s v="Female"/>
    <s v="USA"/>
    <s v="Toronto"/>
    <n v="55616"/>
    <n v="86"/>
    <d v="2023-10-25T00:00:00"/>
    <x v="2"/>
    <n v="1"/>
    <n v="3897"/>
  </r>
  <r>
    <x v="741"/>
    <s v="Name817"/>
    <s v="Surname817"/>
    <s v="user817@example.com"/>
    <s v="+11165271066"/>
    <n v="49"/>
    <s v="Male"/>
    <s v="India"/>
    <s v="New York"/>
    <n v="55519"/>
    <n v="59"/>
    <d v="2023-07-04T00:00:00"/>
    <x v="0"/>
    <n v="5"/>
    <n v="1373"/>
  </r>
  <r>
    <x v="742"/>
    <s v="Name213"/>
    <s v="Surname213"/>
    <s v="user213@example.com"/>
    <s v="+13488151832"/>
    <n v="39"/>
    <s v="Female"/>
    <s v="USA"/>
    <s v="New York"/>
    <n v="55346"/>
    <n v="99"/>
    <d v="2023-02-17T00:00:00"/>
    <x v="1"/>
    <n v="6"/>
    <n v="5353"/>
  </r>
  <r>
    <x v="743"/>
    <s v="Name21"/>
    <s v="Surname21"/>
    <s v="user21@example.com"/>
    <s v="+11426696368"/>
    <n v="50"/>
    <s v="Female"/>
    <s v="Canada"/>
    <s v="Sydney"/>
    <n v="55327"/>
    <n v="40"/>
    <d v="2023-03-11T00:00:00"/>
    <x v="2"/>
    <n v="2"/>
    <n v="2576"/>
  </r>
  <r>
    <x v="744"/>
    <s v="Name612"/>
    <s v="Surname612"/>
    <s v="user612@example.com"/>
    <s v="+13220449332"/>
    <n v="35"/>
    <s v="Female"/>
    <s v="Australia"/>
    <s v="Sydney"/>
    <n v="55302"/>
    <n v="14"/>
    <d v="2023-11-29T00:00:00"/>
    <x v="1"/>
    <n v="4"/>
    <n v="5876"/>
  </r>
  <r>
    <x v="745"/>
    <s v="Name140"/>
    <s v="Surname140"/>
    <s v="user140@example.com"/>
    <s v="+13528086190"/>
    <n v="20"/>
    <s v="Female"/>
    <s v="UK"/>
    <s v="London"/>
    <n v="55296"/>
    <n v="24"/>
    <d v="2023-11-09T00:00:00"/>
    <x v="1"/>
    <n v="5"/>
    <n v="1381"/>
  </r>
  <r>
    <x v="746"/>
    <s v="Name311"/>
    <s v="Surname311"/>
    <s v="user311@example.com"/>
    <s v="+18660036762"/>
    <n v="39"/>
    <s v="Other"/>
    <s v="USA"/>
    <s v="Toronto"/>
    <n v="54891"/>
    <n v="43"/>
    <d v="2023-07-11T00:00:00"/>
    <x v="1"/>
    <n v="6"/>
    <n v="8126"/>
  </r>
  <r>
    <x v="747"/>
    <s v="Name256"/>
    <s v="Surname256"/>
    <s v="user256@example.com"/>
    <s v="+18545453261"/>
    <n v="45"/>
    <s v="Male"/>
    <s v="Australia"/>
    <s v="Sydney"/>
    <n v="54699"/>
    <n v="31"/>
    <d v="2023-11-25T00:00:00"/>
    <x v="0"/>
    <n v="6"/>
    <n v="7268"/>
  </r>
  <r>
    <x v="748"/>
    <s v="Name807"/>
    <s v="Surname807"/>
    <s v="user807@example.com"/>
    <s v="+15784799314"/>
    <n v="43"/>
    <s v="Male"/>
    <s v="UK"/>
    <s v="Sydney"/>
    <n v="54574"/>
    <n v="42"/>
    <d v="2023-01-07T00:00:00"/>
    <x v="1"/>
    <n v="8"/>
    <n v="2880"/>
  </r>
  <r>
    <x v="749"/>
    <s v="Name507"/>
    <s v="Surname507"/>
    <s v="user507@example.com"/>
    <s v="+12806145181"/>
    <n v="39"/>
    <s v="Other"/>
    <s v="UK"/>
    <s v="Toronto"/>
    <n v="54346"/>
    <n v="64"/>
    <d v="2023-10-06T00:00:00"/>
    <x v="1"/>
    <n v="2"/>
    <n v="9855"/>
  </r>
  <r>
    <x v="750"/>
    <s v="Name55"/>
    <s v="Surname55"/>
    <s v="user55@example.com"/>
    <s v="+19726520940"/>
    <n v="30"/>
    <s v="Male"/>
    <s v="USA"/>
    <s v="London"/>
    <n v="54336"/>
    <n v="80"/>
    <d v="2023-11-27T00:00:00"/>
    <x v="0"/>
    <n v="8"/>
    <n v="2970"/>
  </r>
  <r>
    <x v="751"/>
    <s v="Name24"/>
    <s v="Surname24"/>
    <s v="user24@example.com"/>
    <s v="+16557117376"/>
    <n v="31"/>
    <s v="Other"/>
    <s v="UK"/>
    <s v="Mumbai"/>
    <n v="53964"/>
    <n v="1"/>
    <d v="2023-04-24T00:00:00"/>
    <x v="1"/>
    <n v="7"/>
    <n v="5231"/>
  </r>
  <r>
    <x v="752"/>
    <s v="Name196"/>
    <s v="Surname196"/>
    <s v="user196@example.com"/>
    <s v="+12505585827"/>
    <n v="67"/>
    <s v="Female"/>
    <s v="Canada"/>
    <s v="Toronto"/>
    <n v="53886"/>
    <n v="76"/>
    <d v="2023-10-19T00:00:00"/>
    <x v="1"/>
    <n v="4"/>
    <n v="5016"/>
  </r>
  <r>
    <x v="753"/>
    <s v="Name501"/>
    <s v="Surname501"/>
    <s v="user501@example.com"/>
    <s v="+17430641875"/>
    <n v="25"/>
    <s v="Male"/>
    <s v="UK"/>
    <s v="Sydney"/>
    <n v="53781"/>
    <n v="8"/>
    <d v="2023-09-24T00:00:00"/>
    <x v="2"/>
    <n v="1"/>
    <n v="1702"/>
  </r>
  <r>
    <x v="754"/>
    <s v="Name355"/>
    <s v="Surname355"/>
    <s v="user355@example.com"/>
    <s v="+11818709489"/>
    <n v="34"/>
    <s v="Other"/>
    <s v="Australia"/>
    <s v="Toronto"/>
    <n v="53593"/>
    <n v="44"/>
    <d v="2023-08-10T00:00:00"/>
    <x v="2"/>
    <n v="5"/>
    <n v="8261"/>
  </r>
  <r>
    <x v="755"/>
    <s v="Name876"/>
    <s v="Surname876"/>
    <s v="user876@example.com"/>
    <s v="+13261678744"/>
    <n v="70"/>
    <s v="Female"/>
    <s v="USA"/>
    <s v="Sydney"/>
    <n v="53529"/>
    <n v="39"/>
    <d v="2023-09-08T00:00:00"/>
    <x v="0"/>
    <n v="1"/>
    <n v="2062"/>
  </r>
  <r>
    <x v="756"/>
    <s v="Name157"/>
    <s v="Surname157"/>
    <s v="user157@example.com"/>
    <s v="+16819056708"/>
    <n v="21"/>
    <s v="Male"/>
    <s v="USA"/>
    <s v="London"/>
    <n v="53405"/>
    <n v="12"/>
    <d v="2023-03-25T00:00:00"/>
    <x v="2"/>
    <n v="7"/>
    <n v="7371"/>
  </r>
  <r>
    <x v="757"/>
    <s v="Name738"/>
    <s v="Surname738"/>
    <s v="user738@example.com"/>
    <s v="+11240660084"/>
    <n v="48"/>
    <s v="Male"/>
    <s v="Canada"/>
    <s v="Sydney"/>
    <n v="53310"/>
    <n v="65"/>
    <d v="2023-11-15T00:00:00"/>
    <x v="1"/>
    <n v="1"/>
    <n v="218"/>
  </r>
  <r>
    <x v="758"/>
    <s v="Name224"/>
    <s v="Surname224"/>
    <s v="user224@example.com"/>
    <s v="+11845974789"/>
    <n v="69"/>
    <s v="Female"/>
    <s v="USA"/>
    <s v="Mumbai"/>
    <n v="53155"/>
    <n v="26"/>
    <d v="2023-03-03T00:00:00"/>
    <x v="1"/>
    <n v="9"/>
    <n v="7003"/>
  </r>
  <r>
    <x v="759"/>
    <s v="Name510"/>
    <s v="Surname510"/>
    <s v="user510@example.com"/>
    <s v="+19042814144"/>
    <n v="44"/>
    <s v="Female"/>
    <s v="USA"/>
    <s v="Mumbai"/>
    <n v="53026"/>
    <n v="0"/>
    <d v="2023-01-19T00:00:00"/>
    <x v="1"/>
    <n v="5"/>
    <n v="2927"/>
  </r>
  <r>
    <x v="760"/>
    <s v="Name643"/>
    <s v="Surname643"/>
    <s v="user643@example.com"/>
    <s v="+12220398678"/>
    <n v="27"/>
    <s v="Female"/>
    <s v="Canada"/>
    <s v="New York"/>
    <n v="52854"/>
    <n v="57"/>
    <d v="2023-10-19T00:00:00"/>
    <x v="1"/>
    <n v="8"/>
    <n v="5989"/>
  </r>
  <r>
    <x v="761"/>
    <s v="Name40"/>
    <s v="Surname40"/>
    <s v="user40@example.com"/>
    <s v="+18009482097"/>
    <n v="68"/>
    <s v="Other"/>
    <s v="UK"/>
    <s v="Mumbai"/>
    <n v="52674"/>
    <n v="15"/>
    <d v="2023-03-12T00:00:00"/>
    <x v="2"/>
    <n v="8"/>
    <n v="2956"/>
  </r>
  <r>
    <x v="762"/>
    <s v="Name161"/>
    <s v="Surname161"/>
    <s v="user161@example.com"/>
    <s v="+16927177566"/>
    <n v="42"/>
    <s v="Other"/>
    <s v="Australia"/>
    <s v="Mumbai"/>
    <n v="52445"/>
    <n v="23"/>
    <d v="2023-03-05T00:00:00"/>
    <x v="0"/>
    <n v="9"/>
    <n v="4177"/>
  </r>
  <r>
    <x v="763"/>
    <s v="Name319"/>
    <s v="Surname319"/>
    <s v="user319@example.com"/>
    <s v="+17121078575"/>
    <n v="28"/>
    <s v="Male"/>
    <s v="UK"/>
    <s v="Mumbai"/>
    <n v="52440"/>
    <n v="65"/>
    <d v="2023-03-16T00:00:00"/>
    <x v="1"/>
    <n v="4"/>
    <n v="1544"/>
  </r>
  <r>
    <x v="764"/>
    <s v="Name387"/>
    <s v="Surname387"/>
    <s v="user387@example.com"/>
    <s v="+18690740948"/>
    <n v="36"/>
    <s v="Female"/>
    <s v="USA"/>
    <s v="Mumbai"/>
    <n v="52310"/>
    <n v="65"/>
    <d v="2023-12-07T00:00:00"/>
    <x v="1"/>
    <n v="6"/>
    <n v="3459"/>
  </r>
  <r>
    <x v="765"/>
    <s v="Name412"/>
    <s v="Surname412"/>
    <s v="user412@example.com"/>
    <s v="+11475287570"/>
    <n v="38"/>
    <s v="Female"/>
    <s v="USA"/>
    <s v="Toronto"/>
    <n v="52269"/>
    <n v="94"/>
    <d v="2023-05-08T00:00:00"/>
    <x v="2"/>
    <n v="6"/>
    <n v="6739"/>
  </r>
  <r>
    <x v="766"/>
    <s v="Name75"/>
    <s v="Surname75"/>
    <s v="user75@example.com"/>
    <s v="+15382221417"/>
    <n v="24"/>
    <s v="Male"/>
    <s v="Australia"/>
    <s v="Toronto"/>
    <n v="52235"/>
    <n v="89"/>
    <d v="2023-06-15T00:00:00"/>
    <x v="2"/>
    <n v="4"/>
    <n v="9416"/>
  </r>
  <r>
    <x v="767"/>
    <s v="Name653"/>
    <s v="Surname653"/>
    <s v="user653@example.com"/>
    <s v="+17148571344"/>
    <n v="30"/>
    <s v="Male"/>
    <s v="India"/>
    <s v="New York"/>
    <n v="52089"/>
    <n v="65"/>
    <d v="2023-05-31T00:00:00"/>
    <x v="1"/>
    <n v="1"/>
    <n v="3573"/>
  </r>
  <r>
    <x v="768"/>
    <s v="Name804"/>
    <s v="Surname804"/>
    <s v="user804@example.com"/>
    <s v="+18388101606"/>
    <n v="61"/>
    <s v="Other"/>
    <s v="UK"/>
    <s v="New York"/>
    <n v="52070"/>
    <n v="71"/>
    <d v="2023-03-23T00:00:00"/>
    <x v="1"/>
    <n v="2"/>
    <n v="1127"/>
  </r>
  <r>
    <x v="769"/>
    <s v="Name808"/>
    <s v="Surname808"/>
    <s v="user808@example.com"/>
    <s v="+19894306751"/>
    <n v="56"/>
    <s v="Female"/>
    <s v="UK"/>
    <s v="Sydney"/>
    <n v="51983"/>
    <n v="35"/>
    <d v="2023-06-06T00:00:00"/>
    <x v="2"/>
    <n v="5"/>
    <n v="9577"/>
  </r>
  <r>
    <x v="770"/>
    <s v="Name427"/>
    <s v="Surname427"/>
    <s v="user427@example.com"/>
    <s v="+11672543024"/>
    <n v="47"/>
    <s v="Other"/>
    <s v="India"/>
    <s v="Toronto"/>
    <n v="51805"/>
    <n v="3"/>
    <d v="2023-01-31T00:00:00"/>
    <x v="2"/>
    <n v="10"/>
    <n v="6738"/>
  </r>
  <r>
    <x v="771"/>
    <s v="Name880"/>
    <s v="Surname880"/>
    <s v="user880@example.com"/>
    <s v="+18399958279"/>
    <n v="56"/>
    <s v="Female"/>
    <s v="Canada"/>
    <s v="London"/>
    <n v="51763"/>
    <n v="2"/>
    <d v="2023-07-26T00:00:00"/>
    <x v="1"/>
    <n v="6"/>
    <n v="2068"/>
  </r>
  <r>
    <x v="772"/>
    <s v="Name163"/>
    <s v="Surname163"/>
    <s v="user163@example.com"/>
    <s v="+17841103677"/>
    <n v="34"/>
    <s v="Other"/>
    <s v="USA"/>
    <s v="Toronto"/>
    <n v="51560"/>
    <n v="25"/>
    <d v="2023-05-05T00:00:00"/>
    <x v="2"/>
    <n v="4"/>
    <n v="4355"/>
  </r>
  <r>
    <x v="773"/>
    <s v="Name348"/>
    <s v="Surname348"/>
    <s v="user348@example.com"/>
    <s v="+12124262686"/>
    <n v="28"/>
    <s v="Other"/>
    <s v="Australia"/>
    <s v="Mumbai"/>
    <n v="51215"/>
    <n v="60"/>
    <d v="2023-11-30T00:00:00"/>
    <x v="0"/>
    <n v="2"/>
    <n v="434"/>
  </r>
  <r>
    <x v="774"/>
    <s v="Name11"/>
    <s v="Surname11"/>
    <s v="user11@example.com"/>
    <s v="+11032281406"/>
    <n v="49"/>
    <s v="Male"/>
    <s v="UK"/>
    <s v="London"/>
    <n v="51008"/>
    <n v="83"/>
    <d v="2023-12-25T00:00:00"/>
    <x v="1"/>
    <n v="1"/>
    <n v="3174"/>
  </r>
  <r>
    <x v="775"/>
    <s v="Name90"/>
    <s v="Surname90"/>
    <s v="user90@example.com"/>
    <s v="+17436614182"/>
    <n v="57"/>
    <s v="Other"/>
    <s v="Australia"/>
    <s v="London"/>
    <n v="50806"/>
    <n v="43"/>
    <d v="2023-10-12T00:00:00"/>
    <x v="2"/>
    <n v="8"/>
    <n v="2893"/>
  </r>
  <r>
    <x v="776"/>
    <s v="Name953"/>
    <s v="Surname953"/>
    <s v="user953@example.com"/>
    <s v="+14170704749"/>
    <n v="25"/>
    <s v="Other"/>
    <s v="Australia"/>
    <s v="New York"/>
    <n v="50507"/>
    <n v="53"/>
    <d v="2023-03-23T00:00:00"/>
    <x v="2"/>
    <n v="5"/>
    <n v="6289"/>
  </r>
  <r>
    <x v="777"/>
    <s v="Name990"/>
    <s v="Surname990"/>
    <s v="user990@example.com"/>
    <s v="+16137099132"/>
    <n v="55"/>
    <s v="Male"/>
    <s v="India"/>
    <s v="New York"/>
    <n v="50263"/>
    <n v="41"/>
    <d v="2023-03-27T00:00:00"/>
    <x v="0"/>
    <n v="7"/>
    <n v="9290"/>
  </r>
  <r>
    <x v="778"/>
    <s v="Name951"/>
    <s v="Surname951"/>
    <s v="user951@example.com"/>
    <s v="+15546032280"/>
    <n v="20"/>
    <s v="Female"/>
    <s v="UK"/>
    <s v="Toronto"/>
    <n v="50227"/>
    <n v="45"/>
    <d v="2023-04-02T00:00:00"/>
    <x v="1"/>
    <n v="9"/>
    <n v="2225"/>
  </r>
  <r>
    <x v="779"/>
    <s v="Name105"/>
    <s v="Surname105"/>
    <s v="user105@example.com"/>
    <s v="+17020169039"/>
    <n v="44"/>
    <s v="Male"/>
    <s v="USA"/>
    <s v="Mumbai"/>
    <n v="50055"/>
    <n v="5"/>
    <d v="2023-09-13T00:00:00"/>
    <x v="0"/>
    <n v="7"/>
    <n v="5420"/>
  </r>
  <r>
    <x v="780"/>
    <s v="Name875"/>
    <s v="Surname875"/>
    <s v="user875@example.com"/>
    <s v="+14162663788"/>
    <n v="60"/>
    <s v="Other"/>
    <s v="Australia"/>
    <s v="London"/>
    <n v="49609"/>
    <n v="48"/>
    <d v="2023-04-12T00:00:00"/>
    <x v="2"/>
    <n v="4"/>
    <n v="6617"/>
  </r>
  <r>
    <x v="781"/>
    <s v="Name305"/>
    <s v="Surname305"/>
    <s v="user305@example.com"/>
    <s v="+16404547075"/>
    <n v="34"/>
    <s v="Male"/>
    <s v="USA"/>
    <s v="London"/>
    <n v="49535"/>
    <n v="21"/>
    <d v="2023-06-16T00:00:00"/>
    <x v="1"/>
    <n v="1"/>
    <n v="8221"/>
  </r>
  <r>
    <x v="782"/>
    <s v="Name375"/>
    <s v="Surname375"/>
    <s v="user375@example.com"/>
    <s v="+17002807632"/>
    <n v="70"/>
    <s v="Male"/>
    <s v="Canada"/>
    <s v="London"/>
    <n v="49518"/>
    <n v="78"/>
    <d v="2023-07-27T00:00:00"/>
    <x v="0"/>
    <n v="3"/>
    <n v="9551"/>
  </r>
  <r>
    <x v="783"/>
    <s v="Name442"/>
    <s v="Surname442"/>
    <s v="user442@example.com"/>
    <s v="+19207180101"/>
    <n v="42"/>
    <s v="Male"/>
    <s v="USA"/>
    <s v="Toronto"/>
    <n v="49510"/>
    <n v="73"/>
    <d v="2023-03-10T00:00:00"/>
    <x v="2"/>
    <n v="10"/>
    <n v="6157"/>
  </r>
  <r>
    <x v="784"/>
    <s v="Name367"/>
    <s v="Surname367"/>
    <s v="user367@example.com"/>
    <s v="+11820079561"/>
    <n v="40"/>
    <s v="Other"/>
    <s v="Australia"/>
    <s v="London"/>
    <n v="49324"/>
    <n v="32"/>
    <d v="2023-03-19T00:00:00"/>
    <x v="2"/>
    <n v="4"/>
    <n v="6685"/>
  </r>
  <r>
    <x v="785"/>
    <s v="Name734"/>
    <s v="Surname734"/>
    <s v="user734@example.com"/>
    <s v="+16452718589"/>
    <n v="27"/>
    <s v="Female"/>
    <s v="India"/>
    <s v="Toronto"/>
    <n v="49264"/>
    <n v="9"/>
    <d v="2023-03-11T00:00:00"/>
    <x v="2"/>
    <n v="5"/>
    <n v="1029"/>
  </r>
  <r>
    <x v="786"/>
    <s v="Name911"/>
    <s v="Surname911"/>
    <s v="user911@example.com"/>
    <s v="+16940497595"/>
    <n v="42"/>
    <s v="Other"/>
    <s v="India"/>
    <s v="New York"/>
    <n v="49188"/>
    <n v="72"/>
    <d v="2023-06-30T00:00:00"/>
    <x v="2"/>
    <n v="4"/>
    <n v="2815"/>
  </r>
  <r>
    <x v="787"/>
    <s v="Name78"/>
    <s v="Surname78"/>
    <s v="user78@example.com"/>
    <s v="+16323413274"/>
    <n v="32"/>
    <s v="Male"/>
    <s v="UK"/>
    <s v="New York"/>
    <n v="49059"/>
    <n v="31"/>
    <d v="2023-02-10T00:00:00"/>
    <x v="1"/>
    <n v="4"/>
    <n v="2274"/>
  </r>
  <r>
    <x v="788"/>
    <s v="Name874"/>
    <s v="Surname874"/>
    <s v="user874@example.com"/>
    <s v="+16710405578"/>
    <n v="47"/>
    <s v="Female"/>
    <s v="Canada"/>
    <s v="Mumbai"/>
    <n v="48743"/>
    <n v="9"/>
    <d v="2023-03-15T00:00:00"/>
    <x v="0"/>
    <n v="4"/>
    <n v="8505"/>
  </r>
  <r>
    <x v="789"/>
    <s v="Name726"/>
    <s v="Surname726"/>
    <s v="user726@example.com"/>
    <s v="+13909480518"/>
    <n v="45"/>
    <s v="Male"/>
    <s v="Canada"/>
    <s v="Sydney"/>
    <n v="48685"/>
    <n v="81"/>
    <d v="2023-07-12T00:00:00"/>
    <x v="0"/>
    <n v="9"/>
    <n v="8372"/>
  </r>
  <r>
    <x v="790"/>
    <s v="Name809"/>
    <s v="Surname809"/>
    <s v="user809@example.com"/>
    <s v="+16055683531"/>
    <n v="61"/>
    <s v="Male"/>
    <s v="Australia"/>
    <s v="London"/>
    <n v="48468"/>
    <n v="47"/>
    <d v="2023-02-19T00:00:00"/>
    <x v="0"/>
    <n v="1"/>
    <n v="1906"/>
  </r>
  <r>
    <x v="791"/>
    <s v="Name987"/>
    <s v="Surname987"/>
    <s v="user987@example.com"/>
    <s v="+13215381686"/>
    <n v="37"/>
    <s v="Female"/>
    <s v="India"/>
    <s v="Mumbai"/>
    <n v="48318"/>
    <n v="0"/>
    <d v="2023-07-31T00:00:00"/>
    <x v="1"/>
    <n v="8"/>
    <n v="9877"/>
  </r>
  <r>
    <x v="792"/>
    <s v="Name398"/>
    <s v="Surname398"/>
    <s v="user398@example.com"/>
    <s v="+13700148362"/>
    <n v="44"/>
    <s v="Other"/>
    <s v="India"/>
    <s v="London"/>
    <n v="48266"/>
    <n v="9"/>
    <d v="2023-05-22T00:00:00"/>
    <x v="2"/>
    <n v="8"/>
    <n v="4246"/>
  </r>
  <r>
    <x v="793"/>
    <s v="Name648"/>
    <s v="Surname648"/>
    <s v="user648@example.com"/>
    <s v="+13340046142"/>
    <n v="32"/>
    <s v="Female"/>
    <s v="Australia"/>
    <s v="Toronto"/>
    <n v="48257"/>
    <n v="85"/>
    <d v="2023-05-28T00:00:00"/>
    <x v="1"/>
    <n v="6"/>
    <n v="9089"/>
  </r>
  <r>
    <x v="794"/>
    <s v="Name657"/>
    <s v="Surname657"/>
    <s v="user657@example.com"/>
    <s v="+17620420910"/>
    <n v="27"/>
    <s v="Other"/>
    <s v="Australia"/>
    <s v="Toronto"/>
    <n v="48224"/>
    <n v="78"/>
    <d v="2023-04-16T00:00:00"/>
    <x v="2"/>
    <n v="3"/>
    <n v="431"/>
  </r>
  <r>
    <x v="795"/>
    <s v="Name815"/>
    <s v="Surname815"/>
    <s v="user815@example.com"/>
    <s v="+16180727797"/>
    <n v="39"/>
    <s v="Female"/>
    <s v="USA"/>
    <s v="London"/>
    <n v="47976"/>
    <n v="75"/>
    <d v="2023-11-27T00:00:00"/>
    <x v="1"/>
    <n v="7"/>
    <n v="8981"/>
  </r>
  <r>
    <x v="796"/>
    <s v="Name856"/>
    <s v="Surname856"/>
    <s v="user856@example.com"/>
    <s v="+11306239217"/>
    <n v="18"/>
    <s v="Other"/>
    <s v="Australia"/>
    <s v="Toronto"/>
    <n v="47936"/>
    <n v="0"/>
    <d v="2023-04-06T00:00:00"/>
    <x v="1"/>
    <n v="7"/>
    <n v="5774"/>
  </r>
  <r>
    <x v="797"/>
    <s v="Name977"/>
    <s v="Surname977"/>
    <s v="user977@example.com"/>
    <s v="+17763281748"/>
    <n v="45"/>
    <s v="Other"/>
    <s v="Australia"/>
    <s v="Toronto"/>
    <n v="47807"/>
    <n v="35"/>
    <d v="2023-01-29T00:00:00"/>
    <x v="0"/>
    <n v="4"/>
    <n v="4881"/>
  </r>
  <r>
    <x v="798"/>
    <s v="Name231"/>
    <s v="Surname231"/>
    <s v="user231@example.com"/>
    <s v="+15293416909"/>
    <n v="70"/>
    <s v="Female"/>
    <s v="UK"/>
    <s v="Sydney"/>
    <n v="47682"/>
    <n v="98"/>
    <d v="2023-12-22T00:00:00"/>
    <x v="2"/>
    <n v="8"/>
    <n v="6047"/>
  </r>
  <r>
    <x v="799"/>
    <s v="Name377"/>
    <s v="Surname377"/>
    <s v="user377@example.com"/>
    <s v="+12990663520"/>
    <n v="59"/>
    <s v="Female"/>
    <s v="Canada"/>
    <s v="Sydney"/>
    <n v="47659"/>
    <n v="47"/>
    <d v="2023-10-20T00:00:00"/>
    <x v="1"/>
    <n v="8"/>
    <n v="8017"/>
  </r>
  <r>
    <x v="800"/>
    <s v="Name406"/>
    <s v="Surname406"/>
    <s v="user406@example.com"/>
    <s v="+17682044832"/>
    <n v="30"/>
    <s v="Male"/>
    <s v="USA"/>
    <s v="London"/>
    <n v="47635"/>
    <n v="40"/>
    <d v="2023-06-03T00:00:00"/>
    <x v="2"/>
    <n v="8"/>
    <n v="4868"/>
  </r>
  <r>
    <x v="801"/>
    <s v="Name28"/>
    <s v="Surname28"/>
    <s v="user28@example.com"/>
    <s v="+14009204685"/>
    <n v="67"/>
    <s v="Female"/>
    <s v="India"/>
    <s v="Toronto"/>
    <n v="47590"/>
    <n v="60"/>
    <d v="2023-03-18T00:00:00"/>
    <x v="0"/>
    <n v="8"/>
    <n v="8326"/>
  </r>
  <r>
    <x v="802"/>
    <s v="Name642"/>
    <s v="Surname642"/>
    <s v="user642@example.com"/>
    <s v="+11801952211"/>
    <n v="51"/>
    <s v="Female"/>
    <s v="Canada"/>
    <s v="London"/>
    <n v="47516"/>
    <n v="69"/>
    <d v="2023-11-29T00:00:00"/>
    <x v="2"/>
    <n v="5"/>
    <n v="9634"/>
  </r>
  <r>
    <x v="803"/>
    <s v="Name113"/>
    <s v="Surname113"/>
    <s v="user113@example.com"/>
    <s v="+13870495386"/>
    <n v="34"/>
    <s v="Female"/>
    <s v="Australia"/>
    <s v="Toronto"/>
    <n v="47424"/>
    <n v="47"/>
    <d v="2023-01-21T00:00:00"/>
    <x v="2"/>
    <n v="2"/>
    <n v="3276"/>
  </r>
  <r>
    <x v="804"/>
    <s v="Name67"/>
    <s v="Surname67"/>
    <s v="user67@example.com"/>
    <s v="+11788034966"/>
    <n v="19"/>
    <s v="Male"/>
    <s v="Australia"/>
    <s v="London"/>
    <n v="47353"/>
    <n v="92"/>
    <d v="2023-01-22T00:00:00"/>
    <x v="0"/>
    <n v="1"/>
    <n v="4577"/>
  </r>
  <r>
    <x v="805"/>
    <s v="Name756"/>
    <s v="Surname756"/>
    <s v="user756@example.com"/>
    <s v="+18398834656"/>
    <n v="31"/>
    <s v="Male"/>
    <s v="UK"/>
    <s v="London"/>
    <n v="47339"/>
    <n v="78"/>
    <d v="2023-04-16T00:00:00"/>
    <x v="2"/>
    <n v="10"/>
    <n v="4934"/>
  </r>
  <r>
    <x v="806"/>
    <s v="Name360"/>
    <s v="Surname360"/>
    <s v="user360@example.com"/>
    <s v="+12299010100"/>
    <n v="50"/>
    <s v="Other"/>
    <s v="India"/>
    <s v="Sydney"/>
    <n v="47300"/>
    <n v="13"/>
    <d v="2023-12-01T00:00:00"/>
    <x v="0"/>
    <n v="8"/>
    <n v="9937"/>
  </r>
  <r>
    <x v="807"/>
    <s v="Name255"/>
    <s v="Surname255"/>
    <s v="user255@example.com"/>
    <s v="+12587501986"/>
    <n v="55"/>
    <s v="Other"/>
    <s v="Australia"/>
    <s v="Sydney"/>
    <n v="47234"/>
    <n v="55"/>
    <d v="2023-03-31T00:00:00"/>
    <x v="1"/>
    <n v="2"/>
    <n v="2012"/>
  </r>
  <r>
    <x v="808"/>
    <s v="Name994"/>
    <s v="Surname994"/>
    <s v="user994@example.com"/>
    <s v="+17226461880"/>
    <n v="34"/>
    <s v="Female"/>
    <s v="Australia"/>
    <s v="London"/>
    <n v="47150"/>
    <n v="59"/>
    <d v="2023-01-20T00:00:00"/>
    <x v="2"/>
    <n v="8"/>
    <n v="5136"/>
  </r>
  <r>
    <x v="809"/>
    <s v="Name352"/>
    <s v="Surname352"/>
    <s v="user352@example.com"/>
    <s v="+11531840152"/>
    <n v="30"/>
    <s v="Other"/>
    <s v="UK"/>
    <s v="London"/>
    <n v="47091"/>
    <n v="23"/>
    <d v="2023-03-05T00:00:00"/>
    <x v="1"/>
    <n v="3"/>
    <n v="926"/>
  </r>
  <r>
    <x v="810"/>
    <s v="Name784"/>
    <s v="Surname784"/>
    <s v="user784@example.com"/>
    <s v="+16661977837"/>
    <n v="70"/>
    <s v="Female"/>
    <s v="USA"/>
    <s v="New York"/>
    <n v="46886"/>
    <n v="1"/>
    <d v="2023-12-20T00:00:00"/>
    <x v="2"/>
    <n v="4"/>
    <n v="5138"/>
  </r>
  <r>
    <x v="811"/>
    <s v="Name419"/>
    <s v="Surname419"/>
    <s v="user419@example.com"/>
    <s v="+12041168670"/>
    <n v="40"/>
    <s v="Other"/>
    <s v="Canada"/>
    <s v="Mumbai"/>
    <n v="46752"/>
    <n v="64"/>
    <d v="2023-10-03T00:00:00"/>
    <x v="1"/>
    <n v="4"/>
    <n v="9121"/>
  </r>
  <r>
    <x v="812"/>
    <s v="Name44"/>
    <s v="Surname44"/>
    <s v="user44@example.com"/>
    <s v="+12232690681"/>
    <n v="68"/>
    <s v="Female"/>
    <s v="USA"/>
    <s v="Toronto"/>
    <n v="46409"/>
    <n v="1"/>
    <d v="2023-11-18T00:00:00"/>
    <x v="2"/>
    <n v="6"/>
    <n v="2340"/>
  </r>
  <r>
    <x v="813"/>
    <s v="Name69"/>
    <s v="Surname69"/>
    <s v="user69@example.com"/>
    <s v="+15413984235"/>
    <n v="51"/>
    <s v="Male"/>
    <s v="Australia"/>
    <s v="Toronto"/>
    <n v="46398"/>
    <n v="50"/>
    <d v="2023-03-18T00:00:00"/>
    <x v="1"/>
    <n v="1"/>
    <n v="8176"/>
  </r>
  <r>
    <x v="814"/>
    <s v="Name463"/>
    <s v="Surname463"/>
    <s v="user463@example.com"/>
    <s v="+15521833614"/>
    <n v="35"/>
    <s v="Female"/>
    <s v="USA"/>
    <s v="New York"/>
    <n v="46285"/>
    <n v="72"/>
    <d v="2023-05-25T00:00:00"/>
    <x v="2"/>
    <n v="2"/>
    <n v="8816"/>
  </r>
  <r>
    <x v="815"/>
    <s v="Name172"/>
    <s v="Surname172"/>
    <s v="user172@example.com"/>
    <s v="+17482677568"/>
    <n v="68"/>
    <s v="Female"/>
    <s v="UK"/>
    <s v="Mumbai"/>
    <n v="46195"/>
    <n v="73"/>
    <d v="2023-03-23T00:00:00"/>
    <x v="1"/>
    <n v="5"/>
    <n v="7959"/>
  </r>
  <r>
    <x v="816"/>
    <s v="Name338"/>
    <s v="Surname338"/>
    <s v="user338@example.com"/>
    <s v="+15482161775"/>
    <n v="63"/>
    <s v="Female"/>
    <s v="Canada"/>
    <s v="New York"/>
    <n v="46137"/>
    <n v="14"/>
    <d v="2023-05-16T00:00:00"/>
    <x v="0"/>
    <n v="10"/>
    <n v="8327"/>
  </r>
  <r>
    <x v="817"/>
    <s v="Name474"/>
    <s v="Surname474"/>
    <s v="user474@example.com"/>
    <s v="+17276689284"/>
    <n v="31"/>
    <s v="Male"/>
    <s v="Canada"/>
    <s v="Mumbai"/>
    <n v="46039"/>
    <n v="0"/>
    <d v="2023-02-26T00:00:00"/>
    <x v="0"/>
    <n v="8"/>
    <n v="8500"/>
  </r>
  <r>
    <x v="818"/>
    <s v="Name411"/>
    <s v="Surname411"/>
    <s v="user411@example.com"/>
    <s v="+13015964519"/>
    <n v="58"/>
    <s v="Other"/>
    <s v="India"/>
    <s v="Mumbai"/>
    <n v="45443"/>
    <n v="43"/>
    <d v="2023-08-10T00:00:00"/>
    <x v="1"/>
    <n v="2"/>
    <n v="442"/>
  </r>
  <r>
    <x v="819"/>
    <s v="Name179"/>
    <s v="Surname179"/>
    <s v="user179@example.com"/>
    <s v="+19730576215"/>
    <n v="60"/>
    <s v="Male"/>
    <s v="Australia"/>
    <s v="New York"/>
    <n v="45442"/>
    <n v="43"/>
    <d v="2023-06-29T00:00:00"/>
    <x v="0"/>
    <n v="3"/>
    <n v="1252"/>
  </r>
  <r>
    <x v="820"/>
    <s v="Name282"/>
    <s v="Surname282"/>
    <s v="user282@example.com"/>
    <s v="+19357223136"/>
    <n v="25"/>
    <s v="Female"/>
    <s v="UK"/>
    <s v="Mumbai"/>
    <n v="45435"/>
    <n v="66"/>
    <d v="2023-07-03T00:00:00"/>
    <x v="1"/>
    <n v="9"/>
    <n v="7570"/>
  </r>
  <r>
    <x v="821"/>
    <s v="Name849"/>
    <s v="Surname849"/>
    <s v="user849@example.com"/>
    <s v="+18865493792"/>
    <n v="23"/>
    <s v="Male"/>
    <s v="India"/>
    <s v="New York"/>
    <n v="45249"/>
    <n v="91"/>
    <d v="2023-04-27T00:00:00"/>
    <x v="2"/>
    <n v="4"/>
    <n v="4328"/>
  </r>
  <r>
    <x v="822"/>
    <s v="Name705"/>
    <s v="Surname705"/>
    <s v="user705@example.com"/>
    <s v="+19196489881"/>
    <n v="57"/>
    <s v="Other"/>
    <s v="USA"/>
    <s v="New York"/>
    <n v="44726"/>
    <n v="89"/>
    <d v="2023-06-28T00:00:00"/>
    <x v="2"/>
    <n v="2"/>
    <n v="568"/>
  </r>
  <r>
    <x v="823"/>
    <s v="Name912"/>
    <s v="Surname912"/>
    <s v="user912@example.com"/>
    <s v="+14826079366"/>
    <n v="52"/>
    <s v="Other"/>
    <s v="Canada"/>
    <s v="Mumbai"/>
    <n v="44686"/>
    <n v="2"/>
    <d v="2023-04-22T00:00:00"/>
    <x v="2"/>
    <n v="7"/>
    <n v="1515"/>
  </r>
  <r>
    <x v="824"/>
    <s v="Name758"/>
    <s v="Surname758"/>
    <s v="user758@example.com"/>
    <s v="+12705909890"/>
    <n v="26"/>
    <s v="Female"/>
    <s v="India"/>
    <s v="New York"/>
    <n v="44361"/>
    <n v="78"/>
    <d v="2023-08-11T00:00:00"/>
    <x v="0"/>
    <n v="4"/>
    <n v="7234"/>
  </r>
  <r>
    <x v="825"/>
    <s v="Name558"/>
    <s v="Surname558"/>
    <s v="user558@example.com"/>
    <s v="+11725976219"/>
    <n v="28"/>
    <s v="Male"/>
    <s v="Canada"/>
    <s v="Toronto"/>
    <n v="44068"/>
    <n v="84"/>
    <d v="2023-11-01T00:00:00"/>
    <x v="0"/>
    <n v="7"/>
    <n v="4134"/>
  </r>
  <r>
    <x v="826"/>
    <s v="Name867"/>
    <s v="Surname867"/>
    <s v="user867@example.com"/>
    <s v="+18384912887"/>
    <n v="35"/>
    <s v="Female"/>
    <s v="Australia"/>
    <s v="Sydney"/>
    <n v="44031"/>
    <n v="97"/>
    <d v="2023-05-29T00:00:00"/>
    <x v="1"/>
    <n v="7"/>
    <n v="4329"/>
  </r>
  <r>
    <x v="827"/>
    <s v="Name816"/>
    <s v="Surname816"/>
    <s v="user816@example.com"/>
    <s v="+11535506219"/>
    <n v="62"/>
    <s v="Female"/>
    <s v="Canada"/>
    <s v="Toronto"/>
    <n v="43870"/>
    <n v="59"/>
    <d v="2024-01-01T00:00:00"/>
    <x v="1"/>
    <n v="7"/>
    <n v="1980"/>
  </r>
  <r>
    <x v="828"/>
    <s v="Name965"/>
    <s v="Surname965"/>
    <s v="user965@example.com"/>
    <s v="+16797570147"/>
    <n v="18"/>
    <s v="Other"/>
    <s v="Canada"/>
    <s v="New York"/>
    <n v="43858"/>
    <n v="26"/>
    <d v="2023-11-25T00:00:00"/>
    <x v="1"/>
    <n v="8"/>
    <n v="5192"/>
  </r>
  <r>
    <x v="829"/>
    <s v="Name372"/>
    <s v="Surname372"/>
    <s v="user372@example.com"/>
    <s v="+15720895481"/>
    <n v="58"/>
    <s v="Other"/>
    <s v="Australia"/>
    <s v="Sydney"/>
    <n v="43791"/>
    <n v="68"/>
    <d v="2023-01-27T00:00:00"/>
    <x v="1"/>
    <n v="8"/>
    <n v="4007"/>
  </r>
  <r>
    <x v="830"/>
    <s v="Name233"/>
    <s v="Surname233"/>
    <s v="user233@example.com"/>
    <s v="+16195245996"/>
    <n v="41"/>
    <s v="Female"/>
    <s v="USA"/>
    <s v="New York"/>
    <n v="43674"/>
    <n v="92"/>
    <d v="2023-01-14T00:00:00"/>
    <x v="0"/>
    <n v="4"/>
    <n v="7174"/>
  </r>
  <r>
    <x v="831"/>
    <s v="Name983"/>
    <s v="Surname983"/>
    <s v="user983@example.com"/>
    <s v="+12660649375"/>
    <n v="59"/>
    <s v="Female"/>
    <s v="India"/>
    <s v="New York"/>
    <n v="43644"/>
    <n v="60"/>
    <d v="2023-01-02T00:00:00"/>
    <x v="0"/>
    <n v="8"/>
    <n v="3666"/>
  </r>
  <r>
    <x v="832"/>
    <s v="Name151"/>
    <s v="Surname151"/>
    <s v="user151@example.com"/>
    <s v="+11579738826"/>
    <n v="53"/>
    <s v="Other"/>
    <s v="Australia"/>
    <s v="Sydney"/>
    <n v="43443"/>
    <n v="29"/>
    <d v="2023-10-04T00:00:00"/>
    <x v="0"/>
    <n v="6"/>
    <n v="5179"/>
  </r>
  <r>
    <x v="833"/>
    <s v="Name748"/>
    <s v="Surname748"/>
    <s v="user748@example.com"/>
    <s v="+18757638798"/>
    <n v="69"/>
    <s v="Female"/>
    <s v="Australia"/>
    <s v="Mumbai"/>
    <n v="43334"/>
    <n v="70"/>
    <d v="2023-02-17T00:00:00"/>
    <x v="2"/>
    <n v="3"/>
    <n v="7108"/>
  </r>
  <r>
    <x v="834"/>
    <s v="Name881"/>
    <s v="Surname881"/>
    <s v="user881@example.com"/>
    <s v="+14743851756"/>
    <n v="44"/>
    <s v="Female"/>
    <s v="Australia"/>
    <s v="New York"/>
    <n v="43325"/>
    <n v="30"/>
    <d v="2023-06-06T00:00:00"/>
    <x v="2"/>
    <n v="3"/>
    <n v="8360"/>
  </r>
  <r>
    <x v="835"/>
    <s v="Name992"/>
    <s v="Surname992"/>
    <s v="user992@example.com"/>
    <s v="+17860532540"/>
    <n v="63"/>
    <s v="Female"/>
    <s v="Australia"/>
    <s v="New York"/>
    <n v="43186"/>
    <n v="17"/>
    <d v="2023-04-29T00:00:00"/>
    <x v="0"/>
    <n v="5"/>
    <n v="7753"/>
  </r>
  <r>
    <x v="836"/>
    <s v="Name277"/>
    <s v="Surname277"/>
    <s v="user277@example.com"/>
    <s v="+14167645404"/>
    <n v="56"/>
    <s v="Female"/>
    <s v="USA"/>
    <s v="Toronto"/>
    <n v="43104"/>
    <n v="100"/>
    <d v="2023-10-25T00:00:00"/>
    <x v="2"/>
    <n v="2"/>
    <n v="9046"/>
  </r>
  <r>
    <x v="837"/>
    <s v="Name363"/>
    <s v="Surname363"/>
    <s v="user363@example.com"/>
    <s v="+19092450172"/>
    <n v="42"/>
    <s v="Female"/>
    <s v="UK"/>
    <s v="London"/>
    <n v="43061"/>
    <n v="9"/>
    <d v="2023-12-15T00:00:00"/>
    <x v="1"/>
    <n v="1"/>
    <n v="906"/>
  </r>
  <r>
    <x v="838"/>
    <s v="Name306"/>
    <s v="Surname306"/>
    <s v="user306@example.com"/>
    <s v="+17132544487"/>
    <n v="21"/>
    <s v="Female"/>
    <s v="UK"/>
    <s v="Mumbai"/>
    <n v="43008"/>
    <n v="6"/>
    <d v="2023-07-16T00:00:00"/>
    <x v="2"/>
    <n v="7"/>
    <n v="8179"/>
  </r>
  <r>
    <x v="839"/>
    <s v="Name676"/>
    <s v="Surname676"/>
    <s v="user676@example.com"/>
    <s v="+11727226013"/>
    <n v="63"/>
    <s v="Other"/>
    <s v="USA"/>
    <s v="Mumbai"/>
    <n v="42995"/>
    <n v="42"/>
    <d v="2023-09-12T00:00:00"/>
    <x v="1"/>
    <n v="9"/>
    <n v="4840"/>
  </r>
  <r>
    <x v="840"/>
    <s v="Name687"/>
    <s v="Surname687"/>
    <s v="user687@example.com"/>
    <s v="+13857998377"/>
    <n v="47"/>
    <s v="Female"/>
    <s v="Canada"/>
    <s v="Sydney"/>
    <n v="42908"/>
    <n v="33"/>
    <d v="2023-05-05T00:00:00"/>
    <x v="2"/>
    <n v="8"/>
    <n v="3665"/>
  </r>
  <r>
    <x v="841"/>
    <s v="Name219"/>
    <s v="Surname219"/>
    <s v="user219@example.com"/>
    <s v="+19462217860"/>
    <n v="31"/>
    <s v="Female"/>
    <s v="UK"/>
    <s v="London"/>
    <n v="42621"/>
    <n v="100"/>
    <d v="2023-05-17T00:00:00"/>
    <x v="0"/>
    <n v="6"/>
    <n v="6177"/>
  </r>
  <r>
    <x v="842"/>
    <s v="Name63"/>
    <s v="Surname63"/>
    <s v="user63@example.com"/>
    <s v="+11517049093"/>
    <n v="70"/>
    <s v="Male"/>
    <s v="Australia"/>
    <s v="Sydney"/>
    <n v="42470"/>
    <n v="77"/>
    <d v="2023-12-03T00:00:00"/>
    <x v="0"/>
    <n v="7"/>
    <n v="8540"/>
  </r>
  <r>
    <x v="843"/>
    <s v="Name106"/>
    <s v="Surname106"/>
    <s v="user106@example.com"/>
    <s v="+15683892588"/>
    <n v="58"/>
    <s v="Other"/>
    <s v="Australia"/>
    <s v="New York"/>
    <n v="42245"/>
    <n v="11"/>
    <d v="2023-10-25T00:00:00"/>
    <x v="0"/>
    <n v="7"/>
    <n v="1156"/>
  </r>
  <r>
    <x v="844"/>
    <s v="Name14"/>
    <s v="Surname14"/>
    <s v="user14@example.com"/>
    <s v="+14684269288"/>
    <n v="34"/>
    <s v="Male"/>
    <s v="Australia"/>
    <s v="Toronto"/>
    <n v="42076"/>
    <n v="27"/>
    <d v="2023-11-26T00:00:00"/>
    <x v="0"/>
    <n v="2"/>
    <n v="4940"/>
  </r>
  <r>
    <x v="845"/>
    <s v="Name118"/>
    <s v="Surname118"/>
    <s v="user118@example.com"/>
    <s v="+13621311934"/>
    <n v="68"/>
    <s v="Other"/>
    <s v="Canada"/>
    <s v="Toronto"/>
    <n v="42072"/>
    <n v="1"/>
    <d v="2023-09-08T00:00:00"/>
    <x v="0"/>
    <n v="6"/>
    <n v="2728"/>
  </r>
  <r>
    <x v="846"/>
    <s v="Name664"/>
    <s v="Surname664"/>
    <s v="user664@example.com"/>
    <s v="+16596268898"/>
    <n v="64"/>
    <s v="Female"/>
    <s v="UK"/>
    <s v="Mumbai"/>
    <n v="41908"/>
    <n v="80"/>
    <d v="2023-09-17T00:00:00"/>
    <x v="0"/>
    <n v="4"/>
    <n v="4526"/>
  </r>
  <r>
    <x v="847"/>
    <s v="Name95"/>
    <s v="Surname95"/>
    <s v="user95@example.com"/>
    <s v="+11397603883"/>
    <n v="42"/>
    <s v="Female"/>
    <s v="USA"/>
    <s v="Toronto"/>
    <n v="41813"/>
    <n v="82"/>
    <d v="2023-08-01T00:00:00"/>
    <x v="2"/>
    <n v="8"/>
    <n v="5752"/>
  </r>
  <r>
    <x v="848"/>
    <s v="Name89"/>
    <s v="Surname89"/>
    <s v="user89@example.com"/>
    <s v="+15166565591"/>
    <n v="51"/>
    <s v="Other"/>
    <s v="India"/>
    <s v="Mumbai"/>
    <n v="41778"/>
    <n v="89"/>
    <d v="2023-12-18T00:00:00"/>
    <x v="2"/>
    <n v="5"/>
    <n v="839"/>
  </r>
  <r>
    <x v="849"/>
    <s v="Name369"/>
    <s v="Surname369"/>
    <s v="user369@example.com"/>
    <s v="+14582496974"/>
    <n v="64"/>
    <s v="Male"/>
    <s v="UK"/>
    <s v="New York"/>
    <n v="41688"/>
    <n v="99"/>
    <d v="2023-01-02T00:00:00"/>
    <x v="0"/>
    <n v="6"/>
    <n v="3398"/>
  </r>
  <r>
    <x v="850"/>
    <s v="Name925"/>
    <s v="Surname925"/>
    <s v="user925@example.com"/>
    <s v="+13784990184"/>
    <n v="34"/>
    <s v="Male"/>
    <s v="UK"/>
    <s v="Sydney"/>
    <n v="41564"/>
    <n v="41"/>
    <d v="2023-10-03T00:00:00"/>
    <x v="2"/>
    <n v="6"/>
    <n v="4563"/>
  </r>
  <r>
    <x v="851"/>
    <s v="Name531"/>
    <s v="Surname531"/>
    <s v="user531@example.com"/>
    <s v="+17526203224"/>
    <n v="38"/>
    <s v="Other"/>
    <s v="USA"/>
    <s v="Toronto"/>
    <n v="41492"/>
    <n v="76"/>
    <d v="2023-03-29T00:00:00"/>
    <x v="1"/>
    <n v="3"/>
    <n v="2840"/>
  </r>
  <r>
    <x v="852"/>
    <s v="Name13"/>
    <s v="Surname13"/>
    <s v="user13@example.com"/>
    <s v="+11665708980"/>
    <n v="68"/>
    <s v="Other"/>
    <s v="India"/>
    <s v="Mumbai"/>
    <n v="41337"/>
    <n v="50"/>
    <d v="2023-10-23T00:00:00"/>
    <x v="2"/>
    <n v="8"/>
    <n v="1454"/>
  </r>
  <r>
    <x v="853"/>
    <s v="Name551"/>
    <s v="Surname551"/>
    <s v="user551@example.com"/>
    <s v="+14800361095"/>
    <n v="56"/>
    <s v="Male"/>
    <s v="Australia"/>
    <s v="Sydney"/>
    <n v="41159"/>
    <n v="56"/>
    <d v="2023-06-06T00:00:00"/>
    <x v="1"/>
    <n v="2"/>
    <n v="3166"/>
  </r>
  <r>
    <x v="854"/>
    <s v="Name929"/>
    <s v="Surname929"/>
    <s v="user929@example.com"/>
    <s v="+13284447120"/>
    <n v="63"/>
    <s v="Male"/>
    <s v="India"/>
    <s v="Toronto"/>
    <n v="40927"/>
    <n v="54"/>
    <d v="2023-12-09T00:00:00"/>
    <x v="1"/>
    <n v="10"/>
    <n v="8351"/>
  </r>
  <r>
    <x v="855"/>
    <s v="Name365"/>
    <s v="Surname365"/>
    <s v="user365@example.com"/>
    <s v="+13970280040"/>
    <n v="37"/>
    <s v="Male"/>
    <s v="India"/>
    <s v="New York"/>
    <n v="40830"/>
    <n v="44"/>
    <d v="2023-12-07T00:00:00"/>
    <x v="1"/>
    <n v="8"/>
    <n v="9127"/>
  </r>
  <r>
    <x v="856"/>
    <s v="Name243"/>
    <s v="Surname243"/>
    <s v="user243@example.com"/>
    <s v="+19914896588"/>
    <n v="32"/>
    <s v="Male"/>
    <s v="India"/>
    <s v="Mumbai"/>
    <n v="40809"/>
    <n v="48"/>
    <d v="2023-02-27T00:00:00"/>
    <x v="1"/>
    <n v="8"/>
    <n v="5119"/>
  </r>
  <r>
    <x v="857"/>
    <s v="Name394"/>
    <s v="Surname394"/>
    <s v="user394@example.com"/>
    <s v="+17676642456"/>
    <n v="39"/>
    <s v="Male"/>
    <s v="Australia"/>
    <s v="New York"/>
    <n v="40678"/>
    <n v="43"/>
    <d v="2023-11-14T00:00:00"/>
    <x v="2"/>
    <n v="7"/>
    <n v="9597"/>
  </r>
  <r>
    <x v="858"/>
    <s v="Name227"/>
    <s v="Surname227"/>
    <s v="user227@example.com"/>
    <s v="+15383633144"/>
    <n v="33"/>
    <s v="Female"/>
    <s v="USA"/>
    <s v="New York"/>
    <n v="40649"/>
    <n v="96"/>
    <d v="2023-03-27T00:00:00"/>
    <x v="1"/>
    <n v="2"/>
    <n v="3835"/>
  </r>
  <r>
    <x v="859"/>
    <s v="Name684"/>
    <s v="Surname684"/>
    <s v="user684@example.com"/>
    <s v="+17865528040"/>
    <n v="30"/>
    <s v="Female"/>
    <s v="USA"/>
    <s v="Toronto"/>
    <n v="40589"/>
    <n v="42"/>
    <d v="2023-02-26T00:00:00"/>
    <x v="0"/>
    <n v="7"/>
    <n v="3150"/>
  </r>
  <r>
    <x v="860"/>
    <s v="Name802"/>
    <s v="Surname802"/>
    <s v="user802@example.com"/>
    <s v="+16472704462"/>
    <n v="45"/>
    <s v="Male"/>
    <s v="Canada"/>
    <s v="New York"/>
    <n v="40139"/>
    <n v="38"/>
    <d v="2023-01-18T00:00:00"/>
    <x v="0"/>
    <n v="9"/>
    <n v="6568"/>
  </r>
  <r>
    <x v="861"/>
    <s v="Name479"/>
    <s v="Surname479"/>
    <s v="user479@example.com"/>
    <s v="+14124659670"/>
    <n v="47"/>
    <s v="Other"/>
    <s v="UK"/>
    <s v="Sydney"/>
    <n v="40133"/>
    <n v="46"/>
    <d v="2023-04-09T00:00:00"/>
    <x v="2"/>
    <n v="4"/>
    <n v="5449"/>
  </r>
  <r>
    <x v="862"/>
    <s v="Name552"/>
    <s v="Surname552"/>
    <s v="user552@example.com"/>
    <s v="+18508467346"/>
    <n v="31"/>
    <s v="Other"/>
    <s v="Canada"/>
    <s v="Mumbai"/>
    <n v="40111"/>
    <n v="93"/>
    <d v="2023-01-29T00:00:00"/>
    <x v="2"/>
    <n v="4"/>
    <n v="3221"/>
  </r>
  <r>
    <x v="863"/>
    <s v="Name357"/>
    <s v="Surname357"/>
    <s v="user357@example.com"/>
    <s v="+19236544893"/>
    <n v="28"/>
    <s v="Other"/>
    <s v="Australia"/>
    <s v="New York"/>
    <n v="40090"/>
    <n v="59"/>
    <d v="2023-10-01T00:00:00"/>
    <x v="0"/>
    <n v="9"/>
    <n v="1473"/>
  </r>
  <r>
    <x v="864"/>
    <s v="Name882"/>
    <s v="Surname882"/>
    <s v="user882@example.com"/>
    <s v="+18785395007"/>
    <n v="70"/>
    <s v="Male"/>
    <s v="USA"/>
    <s v="Toronto"/>
    <n v="40035"/>
    <n v="5"/>
    <d v="2023-02-03T00:00:00"/>
    <x v="1"/>
    <n v="1"/>
    <n v="4310"/>
  </r>
  <r>
    <x v="865"/>
    <s v="Name60"/>
    <s v="Surname60"/>
    <s v="user60@example.com"/>
    <s v="+15938946869"/>
    <n v="59"/>
    <s v="Female"/>
    <s v="UK"/>
    <s v="London"/>
    <n v="39634"/>
    <n v="42"/>
    <d v="2023-03-24T00:00:00"/>
    <x v="1"/>
    <n v="6"/>
    <n v="3074"/>
  </r>
  <r>
    <x v="866"/>
    <s v="Name866"/>
    <s v="Surname866"/>
    <s v="user866@example.com"/>
    <s v="+16238140627"/>
    <n v="32"/>
    <s v="Male"/>
    <s v="Australia"/>
    <s v="London"/>
    <n v="39492"/>
    <n v="85"/>
    <d v="2023-02-05T00:00:00"/>
    <x v="1"/>
    <n v="5"/>
    <n v="7029"/>
  </r>
  <r>
    <x v="867"/>
    <s v="Name491"/>
    <s v="Surname491"/>
    <s v="user491@example.com"/>
    <s v="+13749856577"/>
    <n v="62"/>
    <s v="Other"/>
    <s v="India"/>
    <s v="New York"/>
    <n v="38840"/>
    <n v="76"/>
    <d v="2023-10-24T00:00:00"/>
    <x v="2"/>
    <n v="6"/>
    <n v="7666"/>
  </r>
  <r>
    <x v="868"/>
    <s v="Name431"/>
    <s v="Surname431"/>
    <s v="user431@example.com"/>
    <s v="+15822239504"/>
    <n v="57"/>
    <s v="Female"/>
    <s v="Australia"/>
    <s v="London"/>
    <n v="38283"/>
    <n v="25"/>
    <d v="2023-11-28T00:00:00"/>
    <x v="2"/>
    <n v="8"/>
    <n v="3598"/>
  </r>
  <r>
    <x v="869"/>
    <s v="Name93"/>
    <s v="Surname93"/>
    <s v="user93@example.com"/>
    <s v="+14413316865"/>
    <n v="42"/>
    <s v="Other"/>
    <s v="India"/>
    <s v="London"/>
    <n v="38096"/>
    <n v="70"/>
    <d v="2023-02-08T00:00:00"/>
    <x v="1"/>
    <n v="3"/>
    <n v="3273"/>
  </r>
  <r>
    <x v="870"/>
    <s v="Name981"/>
    <s v="Surname981"/>
    <s v="user981@example.com"/>
    <s v="+17618099477"/>
    <n v="56"/>
    <s v="Male"/>
    <s v="Australia"/>
    <s v="Sydney"/>
    <n v="37985"/>
    <n v="37"/>
    <d v="2023-03-02T00:00:00"/>
    <x v="0"/>
    <n v="4"/>
    <n v="5879"/>
  </r>
  <r>
    <x v="871"/>
    <s v="Name43"/>
    <s v="Surname43"/>
    <s v="user43@example.com"/>
    <s v="+14183236469"/>
    <n v="46"/>
    <s v="Other"/>
    <s v="USA"/>
    <s v="Mumbai"/>
    <n v="37967"/>
    <n v="21"/>
    <d v="2023-03-23T00:00:00"/>
    <x v="2"/>
    <n v="3"/>
    <n v="2681"/>
  </r>
  <r>
    <x v="872"/>
    <s v="Name859"/>
    <s v="Surname859"/>
    <s v="user859@example.com"/>
    <s v="+16544132232"/>
    <n v="60"/>
    <s v="Female"/>
    <s v="USA"/>
    <s v="New York"/>
    <n v="37866"/>
    <n v="91"/>
    <d v="2023-07-14T00:00:00"/>
    <x v="2"/>
    <n v="6"/>
    <n v="1340"/>
  </r>
  <r>
    <x v="873"/>
    <s v="Name182"/>
    <s v="Surname182"/>
    <s v="user182@example.com"/>
    <s v="+16418183950"/>
    <n v="59"/>
    <s v="Male"/>
    <s v="Canada"/>
    <s v="Toronto"/>
    <n v="37821"/>
    <n v="3"/>
    <d v="2023-06-18T00:00:00"/>
    <x v="2"/>
    <n v="6"/>
    <n v="9147"/>
  </r>
  <r>
    <x v="874"/>
    <s v="Name315"/>
    <s v="Surname315"/>
    <s v="user315@example.com"/>
    <s v="+11391177916"/>
    <n v="23"/>
    <s v="Female"/>
    <s v="UK"/>
    <s v="Toronto"/>
    <n v="37751"/>
    <n v="29"/>
    <d v="2023-09-02T00:00:00"/>
    <x v="2"/>
    <n v="5"/>
    <n v="262"/>
  </r>
  <r>
    <x v="875"/>
    <s v="Name265"/>
    <s v="Surname265"/>
    <s v="user265@example.com"/>
    <s v="+18240551182"/>
    <n v="67"/>
    <s v="Female"/>
    <s v="UK"/>
    <s v="Mumbai"/>
    <n v="37324"/>
    <n v="88"/>
    <d v="2023-03-12T00:00:00"/>
    <x v="0"/>
    <n v="4"/>
    <n v="6654"/>
  </r>
  <r>
    <x v="876"/>
    <s v="Name601"/>
    <s v="Surname601"/>
    <s v="user601@example.com"/>
    <s v="+15530454801"/>
    <n v="32"/>
    <s v="Female"/>
    <s v="Canada"/>
    <s v="London"/>
    <n v="37069"/>
    <n v="30"/>
    <d v="2023-05-14T00:00:00"/>
    <x v="0"/>
    <n v="8"/>
    <n v="1851"/>
  </r>
  <r>
    <x v="877"/>
    <s v="Name520"/>
    <s v="Surname520"/>
    <s v="user520@example.com"/>
    <s v="+15322422698"/>
    <n v="62"/>
    <s v="Male"/>
    <s v="Canada"/>
    <s v="Sydney"/>
    <n v="36919"/>
    <n v="2"/>
    <d v="2023-03-02T00:00:00"/>
    <x v="1"/>
    <n v="6"/>
    <n v="2681"/>
  </r>
  <r>
    <x v="878"/>
    <s v="Name397"/>
    <s v="Surname397"/>
    <s v="user397@example.com"/>
    <s v="+14224596715"/>
    <n v="37"/>
    <s v="Other"/>
    <s v="USA"/>
    <s v="Toronto"/>
    <n v="36782"/>
    <n v="45"/>
    <d v="2023-07-01T00:00:00"/>
    <x v="2"/>
    <n v="3"/>
    <n v="9768"/>
  </r>
  <r>
    <x v="879"/>
    <s v="Name645"/>
    <s v="Surname645"/>
    <s v="user645@example.com"/>
    <s v="+16569161184"/>
    <n v="54"/>
    <s v="Female"/>
    <s v="Canada"/>
    <s v="New York"/>
    <n v="36550"/>
    <n v="60"/>
    <d v="2023-04-24T00:00:00"/>
    <x v="2"/>
    <n v="8"/>
    <n v="8216"/>
  </r>
  <r>
    <x v="880"/>
    <s v="Name615"/>
    <s v="Surname615"/>
    <s v="user615@example.com"/>
    <s v="+16719320350"/>
    <n v="28"/>
    <s v="Male"/>
    <s v="Canada"/>
    <s v="London"/>
    <n v="36170"/>
    <n v="90"/>
    <d v="2023-07-26T00:00:00"/>
    <x v="1"/>
    <n v="3"/>
    <n v="9488"/>
  </r>
  <r>
    <x v="881"/>
    <s v="Name852"/>
    <s v="Surname852"/>
    <s v="user852@example.com"/>
    <s v="+12246436940"/>
    <n v="46"/>
    <s v="Male"/>
    <s v="India"/>
    <s v="London"/>
    <n v="36143"/>
    <n v="36"/>
    <d v="2023-07-09T00:00:00"/>
    <x v="2"/>
    <n v="5"/>
    <n v="9906"/>
  </r>
  <r>
    <x v="882"/>
    <s v="Name572"/>
    <s v="Surname572"/>
    <s v="user572@example.com"/>
    <s v="+12670382100"/>
    <n v="37"/>
    <s v="Other"/>
    <s v="Australia"/>
    <s v="Toronto"/>
    <n v="36077"/>
    <n v="4"/>
    <d v="2023-08-14T00:00:00"/>
    <x v="1"/>
    <n v="6"/>
    <n v="9205"/>
  </r>
  <r>
    <x v="883"/>
    <s v="Name567"/>
    <s v="Surname567"/>
    <s v="user567@example.com"/>
    <s v="+18244197704"/>
    <n v="41"/>
    <s v="Male"/>
    <s v="Canada"/>
    <s v="New York"/>
    <n v="36041"/>
    <n v="51"/>
    <d v="2023-10-16T00:00:00"/>
    <x v="0"/>
    <n v="6"/>
    <n v="2024"/>
  </r>
  <r>
    <x v="884"/>
    <s v="Name786"/>
    <s v="Surname786"/>
    <s v="user786@example.com"/>
    <s v="+14505844663"/>
    <n v="28"/>
    <s v="Other"/>
    <s v="UK"/>
    <s v="New York"/>
    <n v="35917"/>
    <n v="13"/>
    <d v="2023-07-27T00:00:00"/>
    <x v="2"/>
    <n v="1"/>
    <n v="4162"/>
  </r>
  <r>
    <x v="885"/>
    <s v="Name583"/>
    <s v="Surname583"/>
    <s v="user583@example.com"/>
    <s v="+11380878720"/>
    <n v="43"/>
    <s v="Male"/>
    <s v="Canada"/>
    <s v="Toronto"/>
    <n v="35343"/>
    <n v="71"/>
    <d v="2023-01-10T00:00:00"/>
    <x v="1"/>
    <n v="9"/>
    <n v="1869"/>
  </r>
  <r>
    <x v="886"/>
    <s v="Name777"/>
    <s v="Surname777"/>
    <s v="user777@example.com"/>
    <s v="+18624072030"/>
    <n v="58"/>
    <s v="Male"/>
    <s v="USA"/>
    <s v="Mumbai"/>
    <n v="35304"/>
    <n v="5"/>
    <d v="2023-03-17T00:00:00"/>
    <x v="2"/>
    <n v="10"/>
    <n v="5505"/>
  </r>
  <r>
    <x v="887"/>
    <s v="Name950"/>
    <s v="Surname950"/>
    <s v="user950@example.com"/>
    <s v="+18276851336"/>
    <n v="39"/>
    <s v="Male"/>
    <s v="Australia"/>
    <s v="London"/>
    <n v="35254"/>
    <n v="11"/>
    <d v="2023-01-25T00:00:00"/>
    <x v="2"/>
    <n v="7"/>
    <n v="2293"/>
  </r>
  <r>
    <x v="888"/>
    <s v="Name222"/>
    <s v="Surname222"/>
    <s v="user222@example.com"/>
    <s v="+19420616664"/>
    <n v="55"/>
    <s v="Other"/>
    <s v="India"/>
    <s v="New York"/>
    <n v="34968"/>
    <n v="12"/>
    <d v="2023-02-15T00:00:00"/>
    <x v="1"/>
    <n v="4"/>
    <n v="4033"/>
  </r>
  <r>
    <x v="889"/>
    <s v="Name408"/>
    <s v="Surname408"/>
    <s v="user408@example.com"/>
    <s v="+14983604899"/>
    <n v="65"/>
    <s v="Other"/>
    <s v="Canada"/>
    <s v="Sydney"/>
    <n v="34920"/>
    <n v="33"/>
    <d v="2023-10-20T00:00:00"/>
    <x v="0"/>
    <n v="4"/>
    <n v="6282"/>
  </r>
  <r>
    <x v="890"/>
    <s v="Name416"/>
    <s v="Surname416"/>
    <s v="user416@example.com"/>
    <s v="+12659069617"/>
    <n v="26"/>
    <s v="Male"/>
    <s v="USA"/>
    <s v="Mumbai"/>
    <n v="34775"/>
    <n v="58"/>
    <d v="2023-03-17T00:00:00"/>
    <x v="1"/>
    <n v="9"/>
    <n v="4443"/>
  </r>
  <r>
    <x v="891"/>
    <s v="Name750"/>
    <s v="Surname750"/>
    <s v="user750@example.com"/>
    <s v="+13159149690"/>
    <n v="41"/>
    <s v="Male"/>
    <s v="Australia"/>
    <s v="Toronto"/>
    <n v="34667"/>
    <n v="5"/>
    <d v="2023-12-10T00:00:00"/>
    <x v="0"/>
    <n v="2"/>
    <n v="5538"/>
  </r>
  <r>
    <x v="892"/>
    <s v="Name279"/>
    <s v="Surname279"/>
    <s v="user279@example.com"/>
    <s v="+19961815448"/>
    <n v="23"/>
    <s v="Female"/>
    <s v="Canada"/>
    <s v="Sydney"/>
    <n v="34299"/>
    <n v="23"/>
    <d v="2023-09-22T00:00:00"/>
    <x v="0"/>
    <n v="3"/>
    <n v="8226"/>
  </r>
  <r>
    <x v="893"/>
    <s v="Name546"/>
    <s v="Surname546"/>
    <s v="user546@example.com"/>
    <s v="+19257106917"/>
    <n v="49"/>
    <s v="Female"/>
    <s v="UK"/>
    <s v="London"/>
    <n v="34200"/>
    <n v="61"/>
    <d v="2023-09-13T00:00:00"/>
    <x v="2"/>
    <n v="6"/>
    <n v="8461"/>
  </r>
  <r>
    <x v="894"/>
    <s v="Name877"/>
    <s v="Surname877"/>
    <s v="user877@example.com"/>
    <s v="+12801360900"/>
    <n v="18"/>
    <s v="Male"/>
    <s v="Australia"/>
    <s v="Sydney"/>
    <n v="34090"/>
    <n v="23"/>
    <d v="2023-08-07T00:00:00"/>
    <x v="1"/>
    <n v="9"/>
    <n v="9806"/>
  </r>
  <r>
    <x v="895"/>
    <s v="Name334"/>
    <s v="Surname334"/>
    <s v="user334@example.com"/>
    <s v="+13191432260"/>
    <n v="38"/>
    <s v="Female"/>
    <s v="Canada"/>
    <s v="New York"/>
    <n v="33927"/>
    <n v="17"/>
    <d v="2023-07-25T00:00:00"/>
    <x v="1"/>
    <n v="6"/>
    <n v="2407"/>
  </r>
  <r>
    <x v="896"/>
    <s v="Name425"/>
    <s v="Surname425"/>
    <s v="user425@example.com"/>
    <s v="+16082006224"/>
    <n v="49"/>
    <s v="Female"/>
    <s v="India"/>
    <s v="New York"/>
    <n v="33872"/>
    <n v="11"/>
    <d v="2023-01-25T00:00:00"/>
    <x v="2"/>
    <n v="9"/>
    <n v="7090"/>
  </r>
  <r>
    <x v="897"/>
    <s v="Name288"/>
    <s v="Surname288"/>
    <s v="user288@example.com"/>
    <s v="+14415096771"/>
    <n v="54"/>
    <s v="Male"/>
    <s v="Canada"/>
    <s v="Toronto"/>
    <n v="33755"/>
    <n v="31"/>
    <d v="2023-07-20T00:00:00"/>
    <x v="1"/>
    <n v="2"/>
    <n v="1881"/>
  </r>
  <r>
    <x v="898"/>
    <s v="Name932"/>
    <s v="Surname932"/>
    <s v="user932@example.com"/>
    <s v="+16397849017"/>
    <n v="45"/>
    <s v="Other"/>
    <s v="Canada"/>
    <s v="London"/>
    <n v="33413"/>
    <n v="39"/>
    <d v="2023-12-16T00:00:00"/>
    <x v="0"/>
    <n v="7"/>
    <n v="6507"/>
  </r>
  <r>
    <x v="899"/>
    <s v="Name193"/>
    <s v="Surname193"/>
    <s v="user193@example.com"/>
    <s v="+12025312804"/>
    <n v="36"/>
    <s v="Female"/>
    <s v="India"/>
    <s v="Toronto"/>
    <n v="33085"/>
    <n v="54"/>
    <d v="2023-10-27T00:00:00"/>
    <x v="0"/>
    <n v="4"/>
    <n v="8499"/>
  </r>
  <r>
    <x v="900"/>
    <s v="Name751"/>
    <s v="Surname751"/>
    <s v="user751@example.com"/>
    <s v="+15972578441"/>
    <n v="65"/>
    <s v="Male"/>
    <s v="USA"/>
    <s v="London"/>
    <n v="33065"/>
    <n v="7"/>
    <d v="2023-12-10T00:00:00"/>
    <x v="2"/>
    <n v="1"/>
    <n v="4237"/>
  </r>
  <r>
    <x v="901"/>
    <s v="Name647"/>
    <s v="Surname647"/>
    <s v="user647@example.com"/>
    <s v="+19742708115"/>
    <n v="34"/>
    <s v="Female"/>
    <s v="Australia"/>
    <s v="Mumbai"/>
    <n v="33058"/>
    <n v="28"/>
    <d v="2023-06-01T00:00:00"/>
    <x v="1"/>
    <n v="4"/>
    <n v="6041"/>
  </r>
  <r>
    <x v="902"/>
    <s v="Name830"/>
    <s v="Surname830"/>
    <s v="user830@example.com"/>
    <s v="+19288552675"/>
    <n v="41"/>
    <s v="Other"/>
    <s v="USA"/>
    <s v="Mumbai"/>
    <n v="32853"/>
    <n v="29"/>
    <d v="2023-12-21T00:00:00"/>
    <x v="1"/>
    <n v="6"/>
    <n v="5100"/>
  </r>
  <r>
    <x v="903"/>
    <s v="Name36"/>
    <s v="Surname36"/>
    <s v="user36@example.com"/>
    <s v="+12765116801"/>
    <n v="59"/>
    <s v="Other"/>
    <s v="Australia"/>
    <s v="Mumbai"/>
    <n v="32786"/>
    <n v="10"/>
    <d v="2023-02-09T00:00:00"/>
    <x v="2"/>
    <n v="6"/>
    <n v="6234"/>
  </r>
  <r>
    <x v="904"/>
    <s v="Name892"/>
    <s v="Surname892"/>
    <s v="user892@example.com"/>
    <s v="+19224174084"/>
    <n v="36"/>
    <s v="Other"/>
    <s v="UK"/>
    <s v="Sydney"/>
    <n v="32761"/>
    <n v="90"/>
    <d v="2023-03-08T00:00:00"/>
    <x v="0"/>
    <n v="3"/>
    <n v="233"/>
  </r>
  <r>
    <x v="905"/>
    <s v="Name801"/>
    <s v="Surname801"/>
    <s v="user801@example.com"/>
    <s v="+12997912543"/>
    <n v="30"/>
    <s v="Female"/>
    <s v="India"/>
    <s v="Sydney"/>
    <n v="32556"/>
    <n v="31"/>
    <d v="2023-01-24T00:00:00"/>
    <x v="2"/>
    <n v="10"/>
    <n v="8819"/>
  </r>
  <r>
    <x v="906"/>
    <s v="Name100"/>
    <s v="Surname100"/>
    <s v="user100@example.com"/>
    <s v="+18113893426"/>
    <n v="47"/>
    <s v="Male"/>
    <s v="India"/>
    <s v="New York"/>
    <n v="32412"/>
    <n v="98"/>
    <d v="2023-05-18T00:00:00"/>
    <x v="0"/>
    <n v="5"/>
    <n v="2652"/>
  </r>
  <r>
    <x v="907"/>
    <s v="Name445"/>
    <s v="Surname445"/>
    <s v="user445@example.com"/>
    <s v="+16078146054"/>
    <n v="29"/>
    <s v="Male"/>
    <s v="UK"/>
    <s v="Mumbai"/>
    <n v="32266"/>
    <n v="23"/>
    <d v="2023-05-23T00:00:00"/>
    <x v="0"/>
    <n v="8"/>
    <n v="2058"/>
  </r>
  <r>
    <x v="908"/>
    <s v="Name452"/>
    <s v="Surname452"/>
    <s v="user452@example.com"/>
    <s v="+14444449804"/>
    <n v="32"/>
    <s v="Female"/>
    <s v="USA"/>
    <s v="Mumbai"/>
    <n v="32177"/>
    <n v="53"/>
    <d v="2023-11-15T00:00:00"/>
    <x v="0"/>
    <n v="8"/>
    <n v="7770"/>
  </r>
  <r>
    <x v="909"/>
    <s v="Name771"/>
    <s v="Surname771"/>
    <s v="user771@example.com"/>
    <s v="+15905140473"/>
    <n v="67"/>
    <s v="Male"/>
    <s v="India"/>
    <s v="New York"/>
    <n v="31903"/>
    <n v="54"/>
    <d v="2023-05-26T00:00:00"/>
    <x v="0"/>
    <n v="2"/>
    <n v="6390"/>
  </r>
  <r>
    <x v="910"/>
    <s v="Name579"/>
    <s v="Surname579"/>
    <s v="user579@example.com"/>
    <s v="+12709641919"/>
    <n v="42"/>
    <s v="Other"/>
    <s v="UK"/>
    <s v="London"/>
    <n v="31821"/>
    <n v="73"/>
    <d v="2023-08-13T00:00:00"/>
    <x v="2"/>
    <n v="1"/>
    <n v="4236"/>
  </r>
  <r>
    <x v="911"/>
    <s v="Name907"/>
    <s v="Surname907"/>
    <s v="user907@example.com"/>
    <s v="+16665259656"/>
    <n v="19"/>
    <s v="Male"/>
    <s v="India"/>
    <s v="London"/>
    <n v="31792"/>
    <n v="25"/>
    <d v="2023-12-03T00:00:00"/>
    <x v="0"/>
    <n v="1"/>
    <n v="4913"/>
  </r>
  <r>
    <x v="912"/>
    <s v="Name183"/>
    <s v="Surname183"/>
    <s v="user183@example.com"/>
    <s v="+12542656185"/>
    <n v="49"/>
    <s v="Other"/>
    <s v="UK"/>
    <s v="Sydney"/>
    <n v="31580"/>
    <n v="41"/>
    <d v="2023-12-06T00:00:00"/>
    <x v="1"/>
    <n v="1"/>
    <n v="4807"/>
  </r>
  <r>
    <x v="913"/>
    <s v="Name828"/>
    <s v="Surname828"/>
    <s v="user828@example.com"/>
    <s v="+15759138092"/>
    <n v="30"/>
    <s v="Other"/>
    <s v="Australia"/>
    <s v="London"/>
    <n v="31570"/>
    <n v="1"/>
    <d v="2023-09-11T00:00:00"/>
    <x v="1"/>
    <n v="2"/>
    <n v="9225"/>
  </r>
  <r>
    <x v="914"/>
    <s v="Name855"/>
    <s v="Surname855"/>
    <s v="user855@example.com"/>
    <s v="+17150941729"/>
    <n v="46"/>
    <s v="Other"/>
    <s v="Canada"/>
    <s v="Sydney"/>
    <n v="31401"/>
    <n v="59"/>
    <d v="2023-01-02T00:00:00"/>
    <x v="1"/>
    <n v="3"/>
    <n v="384"/>
  </r>
  <r>
    <x v="915"/>
    <s v="Name430"/>
    <s v="Surname430"/>
    <s v="user430@example.com"/>
    <s v="+17503534489"/>
    <n v="67"/>
    <s v="Other"/>
    <s v="UK"/>
    <s v="Sydney"/>
    <n v="31386"/>
    <n v="45"/>
    <d v="2023-06-08T00:00:00"/>
    <x v="2"/>
    <n v="7"/>
    <n v="8720"/>
  </r>
  <r>
    <x v="916"/>
    <s v="Name392"/>
    <s v="Surname392"/>
    <s v="user392@example.com"/>
    <s v="+19966353865"/>
    <n v="43"/>
    <s v="Other"/>
    <s v="India"/>
    <s v="Sydney"/>
    <n v="31305"/>
    <n v="68"/>
    <d v="2023-05-12T00:00:00"/>
    <x v="0"/>
    <n v="7"/>
    <n v="1482"/>
  </r>
  <r>
    <x v="917"/>
    <s v="Name940"/>
    <s v="Surname940"/>
    <s v="user940@example.com"/>
    <s v="+13712115435"/>
    <n v="32"/>
    <s v="Other"/>
    <s v="India"/>
    <s v="Sydney"/>
    <n v="31214"/>
    <n v="52"/>
    <d v="2023-06-04T00:00:00"/>
    <x v="0"/>
    <n v="10"/>
    <n v="1303"/>
  </r>
  <r>
    <x v="918"/>
    <s v="Name248"/>
    <s v="Surname248"/>
    <s v="user248@example.com"/>
    <s v="+11203602649"/>
    <n v="68"/>
    <s v="Other"/>
    <s v="Canada"/>
    <s v="Toronto"/>
    <n v="31103"/>
    <n v="40"/>
    <d v="2023-08-04T00:00:00"/>
    <x v="1"/>
    <n v="6"/>
    <n v="1195"/>
  </r>
  <r>
    <x v="919"/>
    <s v="Name4"/>
    <s v="Surname4"/>
    <s v="user4@example.com"/>
    <s v="+11914208970"/>
    <n v="47"/>
    <s v="Male"/>
    <s v="UK"/>
    <s v="New York"/>
    <n v="31060"/>
    <n v="89"/>
    <d v="2023-04-16T00:00:00"/>
    <x v="2"/>
    <n v="4"/>
    <n v="1992"/>
  </r>
  <r>
    <x v="920"/>
    <s v="Name109"/>
    <s v="Surname109"/>
    <s v="user109@example.com"/>
    <s v="+13837515015"/>
    <n v="68"/>
    <s v="Male"/>
    <s v="UK"/>
    <s v="Mumbai"/>
    <n v="30817"/>
    <n v="93"/>
    <d v="2023-01-22T00:00:00"/>
    <x v="2"/>
    <n v="5"/>
    <n v="3330"/>
  </r>
  <r>
    <x v="921"/>
    <s v="Name16"/>
    <s v="Surname16"/>
    <s v="user16@example.com"/>
    <s v="+17700796334"/>
    <n v="54"/>
    <s v="Male"/>
    <s v="USA"/>
    <s v="New York"/>
    <n v="30642"/>
    <n v="91"/>
    <d v="2023-09-22T00:00:00"/>
    <x v="2"/>
    <n v="5"/>
    <n v="8281"/>
  </r>
  <r>
    <x v="922"/>
    <s v="Name5"/>
    <s v="Surname5"/>
    <s v="user5@example.com"/>
    <s v="+19153722981"/>
    <n v="61"/>
    <s v="Other"/>
    <s v="UK"/>
    <s v="London"/>
    <n v="30383"/>
    <n v="21"/>
    <d v="2023-10-14T00:00:00"/>
    <x v="1"/>
    <n v="2"/>
    <n v="7070"/>
  </r>
  <r>
    <x v="923"/>
    <s v="Name112"/>
    <s v="Surname112"/>
    <s v="user112@example.com"/>
    <s v="+13134390042"/>
    <n v="36"/>
    <s v="Female"/>
    <s v="India"/>
    <s v="London"/>
    <n v="30180"/>
    <n v="1"/>
    <d v="2023-06-03T00:00:00"/>
    <x v="2"/>
    <n v="2"/>
    <n v="5865"/>
  </r>
  <r>
    <x v="924"/>
    <s v="Name946"/>
    <s v="Surname946"/>
    <s v="user946@example.com"/>
    <s v="+16181093203"/>
    <n v="42"/>
    <s v="Female"/>
    <s v="Australia"/>
    <s v="Sydney"/>
    <n v="30100"/>
    <n v="11"/>
    <d v="2023-02-04T00:00:00"/>
    <x v="0"/>
    <n v="7"/>
    <n v="1891"/>
  </r>
  <r>
    <x v="925"/>
    <s v="Name178"/>
    <s v="Surname178"/>
    <s v="user178@example.com"/>
    <s v="+19721996110"/>
    <n v="41"/>
    <s v="Female"/>
    <s v="USA"/>
    <s v="Mumbai"/>
    <n v="29984"/>
    <n v="56"/>
    <d v="2023-12-24T00:00:00"/>
    <x v="0"/>
    <n v="6"/>
    <n v="6986"/>
  </r>
  <r>
    <x v="926"/>
    <s v="Name746"/>
    <s v="Surname746"/>
    <s v="user746@example.com"/>
    <s v="+12921659634"/>
    <n v="24"/>
    <s v="Female"/>
    <s v="India"/>
    <s v="New York"/>
    <n v="29861"/>
    <n v="49"/>
    <d v="2023-12-25T00:00:00"/>
    <x v="0"/>
    <n v="9"/>
    <n v="4439"/>
  </r>
  <r>
    <x v="927"/>
    <s v="Name115"/>
    <s v="Surname115"/>
    <s v="user115@example.com"/>
    <s v="+13393966458"/>
    <n v="65"/>
    <s v="Male"/>
    <s v="Canada"/>
    <s v="Toronto"/>
    <n v="29817"/>
    <n v="52"/>
    <d v="2023-04-21T00:00:00"/>
    <x v="2"/>
    <n v="9"/>
    <n v="5425"/>
  </r>
  <r>
    <x v="928"/>
    <s v="Name901"/>
    <s v="Surname901"/>
    <s v="user901@example.com"/>
    <s v="+13315813740"/>
    <n v="61"/>
    <s v="Male"/>
    <s v="UK"/>
    <s v="New York"/>
    <n v="29729"/>
    <n v="4"/>
    <d v="2023-04-10T00:00:00"/>
    <x v="2"/>
    <n v="1"/>
    <n v="4051"/>
  </r>
  <r>
    <x v="929"/>
    <s v="Name963"/>
    <s v="Surname963"/>
    <s v="user963@example.com"/>
    <s v="+14702426709"/>
    <n v="47"/>
    <s v="Other"/>
    <s v="Australia"/>
    <s v="Toronto"/>
    <n v="29673"/>
    <n v="66"/>
    <d v="2023-07-30T00:00:00"/>
    <x v="2"/>
    <n v="10"/>
    <n v="2077"/>
  </r>
  <r>
    <x v="930"/>
    <s v="Name530"/>
    <s v="Surname530"/>
    <s v="user530@example.com"/>
    <s v="+18850274818"/>
    <n v="69"/>
    <s v="Male"/>
    <s v="UK"/>
    <s v="New York"/>
    <n v="29424"/>
    <n v="58"/>
    <d v="2023-05-31T00:00:00"/>
    <x v="1"/>
    <n v="6"/>
    <n v="1769"/>
  </r>
  <r>
    <x v="931"/>
    <s v="Name693"/>
    <s v="Surname693"/>
    <s v="user693@example.com"/>
    <s v="+17936821897"/>
    <n v="67"/>
    <s v="Other"/>
    <s v="Canada"/>
    <s v="New York"/>
    <n v="29162"/>
    <n v="17"/>
    <d v="2023-01-15T00:00:00"/>
    <x v="2"/>
    <n v="6"/>
    <n v="8366"/>
  </r>
  <r>
    <x v="932"/>
    <s v="Name167"/>
    <s v="Surname167"/>
    <s v="user167@example.com"/>
    <s v="+12451606778"/>
    <n v="32"/>
    <s v="Other"/>
    <s v="India"/>
    <s v="Sydney"/>
    <n v="28985"/>
    <n v="19"/>
    <d v="2023-11-29T00:00:00"/>
    <x v="0"/>
    <n v="9"/>
    <n v="4072"/>
  </r>
  <r>
    <x v="933"/>
    <s v="Name391"/>
    <s v="Surname391"/>
    <s v="user391@example.com"/>
    <s v="+15741198978"/>
    <n v="30"/>
    <s v="Female"/>
    <s v="USA"/>
    <s v="London"/>
    <n v="28817"/>
    <n v="14"/>
    <d v="2023-11-12T00:00:00"/>
    <x v="0"/>
    <n v="8"/>
    <n v="6555"/>
  </r>
  <r>
    <x v="934"/>
    <s v="Name611"/>
    <s v="Surname611"/>
    <s v="user611@example.com"/>
    <s v="+15695280644"/>
    <n v="67"/>
    <s v="Other"/>
    <s v="Canada"/>
    <s v="Mumbai"/>
    <n v="28743"/>
    <n v="22"/>
    <d v="2023-02-07T00:00:00"/>
    <x v="2"/>
    <n v="2"/>
    <n v="9668"/>
  </r>
  <r>
    <x v="935"/>
    <s v="Name290"/>
    <s v="Surname290"/>
    <s v="user290@example.com"/>
    <s v="+19974700331"/>
    <n v="42"/>
    <s v="Female"/>
    <s v="USA"/>
    <s v="New York"/>
    <n v="28666"/>
    <n v="92"/>
    <d v="2023-10-09T00:00:00"/>
    <x v="0"/>
    <n v="9"/>
    <n v="4026"/>
  </r>
  <r>
    <x v="936"/>
    <s v="Name544"/>
    <s v="Surname544"/>
    <s v="user544@example.com"/>
    <s v="+11881782644"/>
    <n v="23"/>
    <s v="Other"/>
    <s v="Australia"/>
    <s v="Sydney"/>
    <n v="28620"/>
    <n v="79"/>
    <d v="2023-06-23T00:00:00"/>
    <x v="2"/>
    <n v="6"/>
    <n v="5369"/>
  </r>
  <r>
    <x v="937"/>
    <s v="Name74"/>
    <s v="Surname74"/>
    <s v="user74@example.com"/>
    <s v="+15880011250"/>
    <n v="63"/>
    <s v="Male"/>
    <s v="India"/>
    <s v="New York"/>
    <n v="28509"/>
    <n v="32"/>
    <d v="2023-02-28T00:00:00"/>
    <x v="0"/>
    <n v="2"/>
    <n v="2867"/>
  </r>
  <r>
    <x v="938"/>
    <s v="Name630"/>
    <s v="Surname630"/>
    <s v="user630@example.com"/>
    <s v="+11303622527"/>
    <n v="69"/>
    <s v="Male"/>
    <s v="Australia"/>
    <s v="Mumbai"/>
    <n v="28102"/>
    <n v="19"/>
    <d v="2023-12-10T00:00:00"/>
    <x v="2"/>
    <n v="2"/>
    <n v="8860"/>
  </r>
  <r>
    <x v="939"/>
    <s v="Name865"/>
    <s v="Surname865"/>
    <s v="user865@example.com"/>
    <s v="+11773972218"/>
    <n v="43"/>
    <s v="Female"/>
    <s v="Australia"/>
    <s v="London"/>
    <n v="27738"/>
    <n v="23"/>
    <d v="2023-10-26T00:00:00"/>
    <x v="1"/>
    <n v="6"/>
    <n v="4229"/>
  </r>
  <r>
    <x v="940"/>
    <s v="Name99"/>
    <s v="Surname99"/>
    <s v="user99@example.com"/>
    <s v="+14792032670"/>
    <n v="41"/>
    <s v="Other"/>
    <s v="UK"/>
    <s v="New York"/>
    <n v="27550"/>
    <n v="69"/>
    <d v="2023-09-30T00:00:00"/>
    <x v="0"/>
    <n v="9"/>
    <n v="9723"/>
  </r>
  <r>
    <x v="941"/>
    <s v="Name65"/>
    <s v="Surname65"/>
    <s v="user65@example.com"/>
    <s v="+12111516485"/>
    <n v="24"/>
    <s v="Female"/>
    <s v="India"/>
    <s v="London"/>
    <n v="27477"/>
    <n v="42"/>
    <d v="2023-01-12T00:00:00"/>
    <x v="0"/>
    <n v="1"/>
    <n v="7165"/>
  </r>
  <r>
    <x v="942"/>
    <s v="Name271"/>
    <s v="Surname271"/>
    <s v="user271@example.com"/>
    <s v="+16851378562"/>
    <n v="66"/>
    <s v="Other"/>
    <s v="India"/>
    <s v="Sydney"/>
    <n v="27191"/>
    <n v="88"/>
    <d v="2023-11-29T00:00:00"/>
    <x v="1"/>
    <n v="5"/>
    <n v="7985"/>
  </r>
  <r>
    <x v="943"/>
    <s v="Name952"/>
    <s v="Surname952"/>
    <s v="user952@example.com"/>
    <s v="+18483328041"/>
    <n v="69"/>
    <s v="Female"/>
    <s v="UK"/>
    <s v="Toronto"/>
    <n v="27087"/>
    <n v="64"/>
    <d v="2023-08-30T00:00:00"/>
    <x v="2"/>
    <n v="9"/>
    <n v="6219"/>
  </r>
  <r>
    <x v="944"/>
    <s v="Name680"/>
    <s v="Surname680"/>
    <s v="user680@example.com"/>
    <s v="+14266197533"/>
    <n v="70"/>
    <s v="Male"/>
    <s v="Australia"/>
    <s v="Sydney"/>
    <n v="26949"/>
    <n v="2"/>
    <d v="2023-11-07T00:00:00"/>
    <x v="2"/>
    <n v="7"/>
    <n v="9727"/>
  </r>
  <r>
    <x v="945"/>
    <s v="Name84"/>
    <s v="Surname84"/>
    <s v="user84@example.com"/>
    <s v="+19222809163"/>
    <n v="48"/>
    <s v="Female"/>
    <s v="UK"/>
    <s v="London"/>
    <n v="26915"/>
    <n v="47"/>
    <d v="2023-02-22T00:00:00"/>
    <x v="0"/>
    <n v="7"/>
    <n v="297"/>
  </r>
  <r>
    <x v="946"/>
    <s v="Name342"/>
    <s v="Surname342"/>
    <s v="user342@example.com"/>
    <s v="+15636529911"/>
    <n v="47"/>
    <s v="Female"/>
    <s v="USA"/>
    <s v="London"/>
    <n v="26908"/>
    <n v="30"/>
    <d v="2023-01-31T00:00:00"/>
    <x v="2"/>
    <n v="5"/>
    <n v="8951"/>
  </r>
  <r>
    <x v="947"/>
    <s v="Name176"/>
    <s v="Surname176"/>
    <s v="user176@example.com"/>
    <s v="+16504089549"/>
    <n v="61"/>
    <s v="Female"/>
    <s v="Canada"/>
    <s v="Mumbai"/>
    <n v="26827"/>
    <n v="100"/>
    <d v="2023-12-24T00:00:00"/>
    <x v="2"/>
    <n v="6"/>
    <n v="154"/>
  </r>
  <r>
    <x v="948"/>
    <s v="Name329"/>
    <s v="Surname329"/>
    <s v="user329@example.com"/>
    <s v="+16377533850"/>
    <n v="58"/>
    <s v="Female"/>
    <s v="India"/>
    <s v="London"/>
    <n v="26614"/>
    <n v="14"/>
    <d v="2023-05-29T00:00:00"/>
    <x v="1"/>
    <n v="9"/>
    <n v="6616"/>
  </r>
  <r>
    <x v="949"/>
    <s v="Name854"/>
    <s v="Surname854"/>
    <s v="user854@example.com"/>
    <s v="+16949502386"/>
    <n v="50"/>
    <s v="Female"/>
    <s v="Canada"/>
    <s v="London"/>
    <n v="26444"/>
    <n v="95"/>
    <d v="2023-07-28T00:00:00"/>
    <x v="2"/>
    <n v="6"/>
    <n v="9008"/>
  </r>
  <r>
    <x v="950"/>
    <s v="Name931"/>
    <s v="Surname931"/>
    <s v="user931@example.com"/>
    <s v="+16240943577"/>
    <n v="58"/>
    <s v="Female"/>
    <s v="Australia"/>
    <s v="Mumbai"/>
    <n v="26311"/>
    <n v="92"/>
    <d v="2023-03-17T00:00:00"/>
    <x v="0"/>
    <n v="9"/>
    <n v="3504"/>
  </r>
  <r>
    <x v="951"/>
    <s v="Name249"/>
    <s v="Surname249"/>
    <s v="user249@example.com"/>
    <s v="+18305163107"/>
    <n v="23"/>
    <s v="Female"/>
    <s v="Australia"/>
    <s v="London"/>
    <n v="26052"/>
    <n v="95"/>
    <d v="2023-01-28T00:00:00"/>
    <x v="0"/>
    <n v="9"/>
    <n v="6842"/>
  </r>
  <r>
    <x v="952"/>
    <s v="Name379"/>
    <s v="Surname379"/>
    <s v="user379@example.com"/>
    <s v="+16236427602"/>
    <n v="20"/>
    <s v="Other"/>
    <s v="UK"/>
    <s v="Mumbai"/>
    <n v="25721"/>
    <n v="85"/>
    <d v="2023-12-26T00:00:00"/>
    <x v="1"/>
    <n v="7"/>
    <n v="256"/>
  </r>
  <r>
    <x v="953"/>
    <s v="Name919"/>
    <s v="Surname919"/>
    <s v="user919@example.com"/>
    <s v="+13067248433"/>
    <n v="37"/>
    <s v="Male"/>
    <s v="Canada"/>
    <s v="Mumbai"/>
    <n v="25715"/>
    <n v="85"/>
    <d v="2023-05-14T00:00:00"/>
    <x v="2"/>
    <n v="8"/>
    <n v="633"/>
  </r>
  <r>
    <x v="954"/>
    <s v="Name8"/>
    <s v="Surname8"/>
    <s v="user8@example.com"/>
    <s v="+11682148608"/>
    <n v="48"/>
    <s v="Male"/>
    <s v="UK"/>
    <s v="New York"/>
    <n v="25288"/>
    <n v="60"/>
    <d v="2023-05-08T00:00:00"/>
    <x v="0"/>
    <n v="4"/>
    <n v="9436"/>
  </r>
  <r>
    <x v="955"/>
    <s v="Name685"/>
    <s v="Surname685"/>
    <s v="user685@example.com"/>
    <s v="+12175487517"/>
    <n v="20"/>
    <s v="Male"/>
    <s v="Australia"/>
    <s v="Mumbai"/>
    <n v="25202"/>
    <n v="100"/>
    <d v="2023-12-31T00:00:00"/>
    <x v="0"/>
    <n v="10"/>
    <n v="7344"/>
  </r>
  <r>
    <x v="956"/>
    <s v="Name581"/>
    <s v="Surname581"/>
    <s v="user581@example.com"/>
    <s v="+15461532681"/>
    <n v="49"/>
    <s v="Male"/>
    <s v="India"/>
    <s v="Mumbai"/>
    <n v="25156"/>
    <n v="7"/>
    <d v="2023-02-19T00:00:00"/>
    <x v="0"/>
    <n v="3"/>
    <n v="4285"/>
  </r>
  <r>
    <x v="957"/>
    <s v="Name449"/>
    <s v="Surname449"/>
    <s v="user449@example.com"/>
    <s v="+11791767345"/>
    <n v="35"/>
    <s v="Other"/>
    <s v="Australia"/>
    <s v="Mumbai"/>
    <n v="25060"/>
    <n v="47"/>
    <d v="2023-03-15T00:00:00"/>
    <x v="2"/>
    <n v="6"/>
    <n v="674"/>
  </r>
  <r>
    <x v="958"/>
    <s v="Name840"/>
    <s v="Surname840"/>
    <s v="user840@example.com"/>
    <s v="+16360579563"/>
    <n v="56"/>
    <s v="Other"/>
    <s v="UK"/>
    <s v="New York"/>
    <n v="24809"/>
    <n v="69"/>
    <d v="2023-02-04T00:00:00"/>
    <x v="1"/>
    <n v="8"/>
    <n v="1083"/>
  </r>
  <r>
    <x v="959"/>
    <s v="Name626"/>
    <s v="Surname626"/>
    <s v="user626@example.com"/>
    <s v="+18877873257"/>
    <n v="47"/>
    <s v="Female"/>
    <s v="India"/>
    <s v="Mumbai"/>
    <n v="24583"/>
    <n v="14"/>
    <d v="2023-05-22T00:00:00"/>
    <x v="2"/>
    <n v="10"/>
    <n v="7023"/>
  </r>
  <r>
    <x v="960"/>
    <s v="Name629"/>
    <s v="Surname629"/>
    <s v="user629@example.com"/>
    <s v="+18475919969"/>
    <n v="48"/>
    <s v="Female"/>
    <s v="UK"/>
    <s v="Mumbai"/>
    <n v="24445"/>
    <n v="10"/>
    <d v="2023-07-03T00:00:00"/>
    <x v="1"/>
    <n v="3"/>
    <n v="686"/>
  </r>
  <r>
    <x v="961"/>
    <s v="Name675"/>
    <s v="Surname675"/>
    <s v="user675@example.com"/>
    <s v="+13721877573"/>
    <n v="35"/>
    <s v="Female"/>
    <s v="Canada"/>
    <s v="Sydney"/>
    <n v="24407"/>
    <n v="71"/>
    <d v="2023-01-08T00:00:00"/>
    <x v="1"/>
    <n v="1"/>
    <n v="7184"/>
  </r>
  <r>
    <x v="962"/>
    <s v="Name18"/>
    <s v="Surname18"/>
    <s v="user18@example.com"/>
    <s v="+19106198287"/>
    <n v="41"/>
    <s v="Other"/>
    <s v="UK"/>
    <s v="New York"/>
    <n v="24349"/>
    <n v="8"/>
    <d v="2023-02-15T00:00:00"/>
    <x v="1"/>
    <n v="4"/>
    <n v="5739"/>
  </r>
  <r>
    <x v="963"/>
    <s v="Name354"/>
    <s v="Surname354"/>
    <s v="user354@example.com"/>
    <s v="+12852660793"/>
    <n v="43"/>
    <s v="Male"/>
    <s v="USA"/>
    <s v="Toronto"/>
    <n v="24126"/>
    <n v="81"/>
    <d v="2023-11-27T00:00:00"/>
    <x v="1"/>
    <n v="7"/>
    <n v="7289"/>
  </r>
  <r>
    <x v="964"/>
    <s v="Name73"/>
    <s v="Surname73"/>
    <s v="user73@example.com"/>
    <s v="+11706625214"/>
    <n v="68"/>
    <s v="Other"/>
    <s v="Canada"/>
    <s v="Sydney"/>
    <n v="24058"/>
    <n v="69"/>
    <d v="2023-06-14T00:00:00"/>
    <x v="0"/>
    <n v="1"/>
    <n v="2534"/>
  </r>
  <r>
    <x v="965"/>
    <s v="Name886"/>
    <s v="Surname886"/>
    <s v="user886@example.com"/>
    <s v="+11474903021"/>
    <n v="40"/>
    <s v="Female"/>
    <s v="UK"/>
    <s v="Sydney"/>
    <n v="24030"/>
    <n v="67"/>
    <d v="2023-10-16T00:00:00"/>
    <x v="1"/>
    <n v="3"/>
    <n v="5042"/>
  </r>
  <r>
    <x v="966"/>
    <s v="Name404"/>
    <s v="Surname404"/>
    <s v="user404@example.com"/>
    <s v="+14440854032"/>
    <n v="25"/>
    <s v="Male"/>
    <s v="UK"/>
    <s v="Toronto"/>
    <n v="23958"/>
    <n v="52"/>
    <d v="2023-11-07T00:00:00"/>
    <x v="2"/>
    <n v="8"/>
    <n v="9581"/>
  </r>
  <r>
    <x v="967"/>
    <s v="Name181"/>
    <s v="Surname181"/>
    <s v="user181@example.com"/>
    <s v="+19066960068"/>
    <n v="45"/>
    <s v="Female"/>
    <s v="Canada"/>
    <s v="Toronto"/>
    <n v="23771"/>
    <n v="98"/>
    <d v="2023-11-21T00:00:00"/>
    <x v="0"/>
    <n v="9"/>
    <n v="4647"/>
  </r>
  <r>
    <x v="968"/>
    <s v="Name508"/>
    <s v="Surname508"/>
    <s v="user508@example.com"/>
    <s v="+11706730335"/>
    <n v="41"/>
    <s v="Other"/>
    <s v="USA"/>
    <s v="London"/>
    <n v="23728"/>
    <n v="43"/>
    <d v="2023-07-30T00:00:00"/>
    <x v="2"/>
    <n v="7"/>
    <n v="817"/>
  </r>
  <r>
    <x v="969"/>
    <s v="Name188"/>
    <s v="Surname188"/>
    <s v="user188@example.com"/>
    <s v="+13369585428"/>
    <n v="26"/>
    <s v="Male"/>
    <s v="Canada"/>
    <s v="New York"/>
    <n v="23700"/>
    <n v="75"/>
    <d v="2023-11-17T00:00:00"/>
    <x v="0"/>
    <n v="7"/>
    <n v="2317"/>
  </r>
  <r>
    <x v="970"/>
    <s v="Name991"/>
    <s v="Surname991"/>
    <s v="user991@example.com"/>
    <s v="+15864828774"/>
    <n v="69"/>
    <s v="Male"/>
    <s v="Australia"/>
    <s v="London"/>
    <n v="23683"/>
    <n v="83"/>
    <d v="2023-11-19T00:00:00"/>
    <x v="2"/>
    <n v="5"/>
    <n v="3873"/>
  </r>
  <r>
    <x v="971"/>
    <s v="Name502"/>
    <s v="Surname502"/>
    <s v="user502@example.com"/>
    <s v="+19894440067"/>
    <n v="26"/>
    <s v="Male"/>
    <s v="Australia"/>
    <s v="New York"/>
    <n v="23508"/>
    <n v="89"/>
    <d v="2023-08-03T00:00:00"/>
    <x v="0"/>
    <n v="6"/>
    <n v="6996"/>
  </r>
  <r>
    <x v="972"/>
    <s v="Name133"/>
    <s v="Surname133"/>
    <s v="user133@example.com"/>
    <s v="+13893967863"/>
    <n v="28"/>
    <s v="Male"/>
    <s v="Canada"/>
    <s v="Sydney"/>
    <n v="23187"/>
    <n v="1"/>
    <d v="2023-09-18T00:00:00"/>
    <x v="2"/>
    <n v="8"/>
    <n v="6107"/>
  </r>
  <r>
    <x v="973"/>
    <s v="Name538"/>
    <s v="Surname538"/>
    <s v="user538@example.com"/>
    <s v="+13702598401"/>
    <n v="70"/>
    <s v="Female"/>
    <s v="UK"/>
    <s v="New York"/>
    <n v="23151"/>
    <n v="12"/>
    <d v="2023-09-16T00:00:00"/>
    <x v="2"/>
    <n v="4"/>
    <n v="6549"/>
  </r>
  <r>
    <x v="974"/>
    <s v="Name220"/>
    <s v="Surname220"/>
    <s v="user220@example.com"/>
    <s v="+12266145146"/>
    <n v="28"/>
    <s v="Female"/>
    <s v="Canada"/>
    <s v="Mumbai"/>
    <n v="22961"/>
    <n v="2"/>
    <d v="2023-10-28T00:00:00"/>
    <x v="2"/>
    <n v="6"/>
    <n v="9329"/>
  </r>
  <r>
    <x v="975"/>
    <s v="Name310"/>
    <s v="Surname310"/>
    <s v="user310@example.com"/>
    <s v="+17930511594"/>
    <n v="63"/>
    <s v="Other"/>
    <s v="USA"/>
    <s v="Mumbai"/>
    <n v="22931"/>
    <n v="53"/>
    <d v="2023-06-03T00:00:00"/>
    <x v="0"/>
    <n v="5"/>
    <n v="672"/>
  </r>
  <r>
    <x v="976"/>
    <s v="Name742"/>
    <s v="Surname742"/>
    <s v="user742@example.com"/>
    <s v="+14039824616"/>
    <n v="60"/>
    <s v="Male"/>
    <s v="India"/>
    <s v="Sydney"/>
    <n v="22851"/>
    <n v="51"/>
    <d v="2023-11-04T00:00:00"/>
    <x v="0"/>
    <n v="10"/>
    <n v="4497"/>
  </r>
  <r>
    <x v="977"/>
    <s v="Name54"/>
    <s v="Surname54"/>
    <s v="user54@example.com"/>
    <s v="+15740012368"/>
    <n v="26"/>
    <s v="Other"/>
    <s v="USA"/>
    <s v="London"/>
    <n v="22822"/>
    <n v="69"/>
    <d v="2023-01-16T00:00:00"/>
    <x v="1"/>
    <n v="6"/>
    <n v="7462"/>
  </r>
  <r>
    <x v="978"/>
    <s v="Name763"/>
    <s v="Surname763"/>
    <s v="user763@example.com"/>
    <s v="+18822422569"/>
    <n v="62"/>
    <s v="Other"/>
    <s v="Canada"/>
    <s v="Sydney"/>
    <n v="22756"/>
    <n v="84"/>
    <d v="2023-08-28T00:00:00"/>
    <x v="2"/>
    <n v="1"/>
    <n v="9212"/>
  </r>
  <r>
    <x v="979"/>
    <s v="Name646"/>
    <s v="Surname646"/>
    <s v="user646@example.com"/>
    <s v="+14347179583"/>
    <n v="67"/>
    <s v="Female"/>
    <s v="Canada"/>
    <s v="New York"/>
    <n v="21478"/>
    <n v="88"/>
    <d v="2023-03-19T00:00:00"/>
    <x v="1"/>
    <n v="2"/>
    <n v="1336"/>
  </r>
  <r>
    <x v="980"/>
    <s v="Name895"/>
    <s v="Surname895"/>
    <s v="user895@example.com"/>
    <s v="+12959364876"/>
    <n v="35"/>
    <s v="Other"/>
    <s v="Canada"/>
    <s v="Sydney"/>
    <n v="21453"/>
    <n v="13"/>
    <d v="2023-12-23T00:00:00"/>
    <x v="1"/>
    <n v="9"/>
    <n v="3495"/>
  </r>
  <r>
    <x v="981"/>
    <s v="Name349"/>
    <s v="Surname349"/>
    <s v="user349@example.com"/>
    <s v="+16191480685"/>
    <n v="38"/>
    <s v="Male"/>
    <s v="UK"/>
    <s v="New York"/>
    <n v="21269"/>
    <n v="21"/>
    <d v="2023-09-04T00:00:00"/>
    <x v="1"/>
    <n v="2"/>
    <n v="2060"/>
  </r>
  <r>
    <x v="982"/>
    <s v="Name893"/>
    <s v="Surname893"/>
    <s v="user893@example.com"/>
    <s v="+18425725761"/>
    <n v="31"/>
    <s v="Female"/>
    <s v="Canada"/>
    <s v="London"/>
    <n v="21241"/>
    <n v="24"/>
    <d v="2023-08-10T00:00:00"/>
    <x v="1"/>
    <n v="6"/>
    <n v="1283"/>
  </r>
  <r>
    <x v="983"/>
    <s v="Name414"/>
    <s v="Surname414"/>
    <s v="user414@example.com"/>
    <s v="+19108508628"/>
    <n v="48"/>
    <s v="Male"/>
    <s v="Australia"/>
    <s v="Mumbai"/>
    <n v="21098"/>
    <n v="13"/>
    <d v="2023-05-26T00:00:00"/>
    <x v="0"/>
    <n v="8"/>
    <n v="3860"/>
  </r>
  <r>
    <x v="984"/>
    <s v="Name101"/>
    <s v="Surname101"/>
    <s v="user101@example.com"/>
    <s v="+16491630886"/>
    <n v="25"/>
    <s v="Female"/>
    <s v="USA"/>
    <s v="Toronto"/>
    <n v="21073"/>
    <n v="32"/>
    <d v="2023-04-18T00:00:00"/>
    <x v="2"/>
    <n v="4"/>
    <n v="8404"/>
  </r>
  <r>
    <x v="985"/>
    <s v="Name490"/>
    <s v="Surname490"/>
    <s v="user490@example.com"/>
    <s v="+18178067310"/>
    <n v="49"/>
    <s v="Male"/>
    <s v="Canada"/>
    <s v="London"/>
    <n v="21032"/>
    <n v="23"/>
    <d v="2023-08-18T00:00:00"/>
    <x v="0"/>
    <n v="10"/>
    <n v="7050"/>
  </r>
  <r>
    <x v="986"/>
    <s v="Name703"/>
    <s v="Surname703"/>
    <s v="user703@example.com"/>
    <s v="+12624619120"/>
    <n v="19"/>
    <s v="Other"/>
    <s v="India"/>
    <s v="New York"/>
    <n v="20951"/>
    <n v="97"/>
    <d v="2023-08-30T00:00:00"/>
    <x v="0"/>
    <n v="6"/>
    <n v="7406"/>
  </r>
  <r>
    <x v="987"/>
    <s v="Name241"/>
    <s v="Surname241"/>
    <s v="user241@example.com"/>
    <s v="+14224421589"/>
    <n v="69"/>
    <s v="Male"/>
    <s v="India"/>
    <s v="Toronto"/>
    <n v="20864"/>
    <n v="9"/>
    <d v="2023-03-31T00:00:00"/>
    <x v="1"/>
    <n v="7"/>
    <n v="4178"/>
  </r>
  <r>
    <x v="988"/>
    <s v="Name851"/>
    <s v="Surname851"/>
    <s v="user851@example.com"/>
    <s v="+14684631520"/>
    <n v="49"/>
    <s v="Male"/>
    <s v="India"/>
    <s v="Toronto"/>
    <n v="20841"/>
    <n v="35"/>
    <d v="2023-09-10T00:00:00"/>
    <x v="1"/>
    <n v="5"/>
    <n v="9036"/>
  </r>
  <r>
    <x v="989"/>
    <s v="Name525"/>
    <s v="Surname525"/>
    <s v="user525@example.com"/>
    <s v="+15256969083"/>
    <n v="45"/>
    <s v="Female"/>
    <s v="India"/>
    <s v="New York"/>
    <n v="20812"/>
    <n v="4"/>
    <d v="2023-10-01T00:00:00"/>
    <x v="2"/>
    <n v="1"/>
    <n v="6088"/>
  </r>
  <r>
    <x v="990"/>
    <s v="Name696"/>
    <s v="Surname696"/>
    <s v="user696@example.com"/>
    <s v="+19835375756"/>
    <n v="61"/>
    <s v="Male"/>
    <s v="Australia"/>
    <s v="Mumbai"/>
    <n v="20644"/>
    <n v="86"/>
    <d v="2023-10-02T00:00:00"/>
    <x v="1"/>
    <n v="4"/>
    <n v="3093"/>
  </r>
  <r>
    <x v="991"/>
    <s v="Name174"/>
    <s v="Surname174"/>
    <s v="user174@example.com"/>
    <s v="+13554813070"/>
    <n v="45"/>
    <s v="Female"/>
    <s v="Canada"/>
    <s v="Mumbai"/>
    <n v="20552"/>
    <n v="50"/>
    <d v="2023-02-10T00:00:00"/>
    <x v="1"/>
    <n v="2"/>
    <n v="604"/>
  </r>
  <r>
    <x v="992"/>
    <s v="Name650"/>
    <s v="Surname650"/>
    <s v="user650@example.com"/>
    <s v="+11484604753"/>
    <n v="23"/>
    <s v="Male"/>
    <s v="Canada"/>
    <s v="New York"/>
    <n v="20405"/>
    <n v="47"/>
    <d v="2023-08-20T00:00:00"/>
    <x v="2"/>
    <n v="7"/>
    <n v="7528"/>
  </r>
  <r>
    <x v="993"/>
    <s v="Name47"/>
    <s v="Surname47"/>
    <s v="user47@example.com"/>
    <s v="+14564550605"/>
    <n v="37"/>
    <s v="Male"/>
    <s v="Australia"/>
    <s v="London"/>
    <n v="20366"/>
    <n v="69"/>
    <d v="2023-06-28T00:00:00"/>
    <x v="1"/>
    <n v="10"/>
    <n v="2403"/>
  </r>
  <r>
    <x v="994"/>
    <s v="Name767"/>
    <s v="Surname767"/>
    <s v="user767@example.com"/>
    <s v="+13135076407"/>
    <n v="42"/>
    <s v="Male"/>
    <s v="UK"/>
    <s v="New York"/>
    <n v="20249"/>
    <n v="90"/>
    <d v="2023-03-06T00:00:00"/>
    <x v="1"/>
    <n v="2"/>
    <n v="8753"/>
  </r>
  <r>
    <x v="995"/>
    <s v="Name49"/>
    <s v="Surname49"/>
    <s v="user49@example.com"/>
    <s v="+17603686801"/>
    <n v="56"/>
    <s v="Other"/>
    <s v="Australia"/>
    <s v="Toronto"/>
    <n v="20245"/>
    <n v="38"/>
    <d v="2023-04-11T00:00:00"/>
    <x v="1"/>
    <n v="10"/>
    <n v="2856"/>
  </r>
  <r>
    <x v="996"/>
    <s v="Name125"/>
    <s v="Surname125"/>
    <s v="user125@example.com"/>
    <s v="+19650631341"/>
    <n v="59"/>
    <s v="Other"/>
    <s v="Canada"/>
    <s v="Mumbai"/>
    <n v="20156"/>
    <n v="22"/>
    <d v="2023-03-27T00:00:00"/>
    <x v="2"/>
    <n v="2"/>
    <n v="4161"/>
  </r>
  <r>
    <x v="997"/>
    <s v="Name673"/>
    <s v="Surname673"/>
    <s v="user673@example.com"/>
    <s v="+14266948549"/>
    <n v="49"/>
    <s v="Female"/>
    <s v="Canada"/>
    <s v="New York"/>
    <n v="20091"/>
    <n v="89"/>
    <d v="2024-01-01T00:00:00"/>
    <x v="0"/>
    <n v="10"/>
    <n v="2751"/>
  </r>
  <r>
    <x v="998"/>
    <s v="Name203"/>
    <s v="Surname203"/>
    <s v="user203@example.com"/>
    <s v="+18863506379"/>
    <n v="45"/>
    <s v="Male"/>
    <s v="USA"/>
    <s v="Sydney"/>
    <n v="20089"/>
    <n v="67"/>
    <d v="2023-05-12T00:00:00"/>
    <x v="2"/>
    <n v="4"/>
    <n v="9162"/>
  </r>
  <r>
    <x v="999"/>
    <s v="Name528"/>
    <s v="Surname528"/>
    <s v="user528@example.com"/>
    <s v="+13281188617"/>
    <n v="27"/>
    <s v="Female"/>
    <s v="Canada"/>
    <s v="Mumbai"/>
    <n v="20055"/>
    <n v="73"/>
    <d v="2023-05-28T00:00:00"/>
    <x v="0"/>
    <n v="8"/>
    <n v="775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73"/>
    <x v="0"/>
  </r>
  <r>
    <n v="67"/>
    <x v="1"/>
  </r>
  <r>
    <n v="89"/>
    <x v="2"/>
  </r>
  <r>
    <n v="22"/>
    <x v="3"/>
  </r>
  <r>
    <n v="38"/>
    <x v="4"/>
  </r>
  <r>
    <n v="90"/>
    <x v="5"/>
  </r>
  <r>
    <n v="69"/>
    <x v="6"/>
  </r>
  <r>
    <n v="47"/>
    <x v="7"/>
  </r>
  <r>
    <n v="50"/>
    <x v="8"/>
  </r>
  <r>
    <n v="86"/>
    <x v="9"/>
  </r>
  <r>
    <n v="4"/>
    <x v="10"/>
  </r>
  <r>
    <n v="35"/>
    <x v="11"/>
  </r>
  <r>
    <n v="9"/>
    <x v="12"/>
  </r>
  <r>
    <n v="97"/>
    <x v="13"/>
  </r>
  <r>
    <n v="23"/>
    <x v="14"/>
  </r>
  <r>
    <n v="32"/>
    <x v="15"/>
  </r>
  <r>
    <n v="13"/>
    <x v="16"/>
  </r>
  <r>
    <n v="24"/>
    <x v="17"/>
  </r>
  <r>
    <n v="21"/>
    <x v="18"/>
  </r>
  <r>
    <n v="13"/>
    <x v="19"/>
  </r>
  <r>
    <n v="88"/>
    <x v="20"/>
  </r>
  <r>
    <n v="84"/>
    <x v="21"/>
  </r>
  <r>
    <n v="69"/>
    <x v="22"/>
  </r>
  <r>
    <n v="51"/>
    <x v="23"/>
  </r>
  <r>
    <n v="53"/>
    <x v="24"/>
  </r>
  <r>
    <n v="2"/>
    <x v="25"/>
  </r>
  <r>
    <n v="12"/>
    <x v="26"/>
  </r>
  <r>
    <n v="1"/>
    <x v="27"/>
  </r>
  <r>
    <n v="89"/>
    <x v="28"/>
  </r>
  <r>
    <n v="83"/>
    <x v="29"/>
  </r>
  <r>
    <n v="75"/>
    <x v="30"/>
  </r>
  <r>
    <n v="43"/>
    <x v="31"/>
  </r>
  <r>
    <n v="98"/>
    <x v="32"/>
  </r>
  <r>
    <n v="52"/>
    <x v="33"/>
  </r>
  <r>
    <n v="67"/>
    <x v="34"/>
  </r>
  <r>
    <n v="69"/>
    <x v="35"/>
  </r>
  <r>
    <n v="81"/>
    <x v="36"/>
  </r>
  <r>
    <n v="8"/>
    <x v="37"/>
  </r>
  <r>
    <n v="71"/>
    <x v="38"/>
  </r>
  <r>
    <n v="10"/>
    <x v="39"/>
  </r>
  <r>
    <n v="14"/>
    <x v="40"/>
  </r>
  <r>
    <n v="69"/>
    <x v="41"/>
  </r>
  <r>
    <n v="47"/>
    <x v="42"/>
  </r>
  <r>
    <n v="7"/>
    <x v="43"/>
  </r>
  <r>
    <n v="100"/>
    <x v="44"/>
  </r>
  <r>
    <n v="60"/>
    <x v="45"/>
  </r>
  <r>
    <n v="85"/>
    <x v="46"/>
  </r>
  <r>
    <n v="85"/>
    <x v="47"/>
  </r>
  <r>
    <n v="95"/>
    <x v="48"/>
  </r>
  <r>
    <n v="92"/>
    <x v="49"/>
  </r>
  <r>
    <n v="95"/>
    <x v="50"/>
  </r>
  <r>
    <n v="14"/>
    <x v="51"/>
  </r>
  <r>
    <n v="100"/>
    <x v="52"/>
  </r>
  <r>
    <n v="30"/>
    <x v="53"/>
  </r>
  <r>
    <n v="47"/>
    <x v="54"/>
  </r>
  <r>
    <n v="2"/>
    <x v="33"/>
  </r>
  <r>
    <n v="64"/>
    <x v="13"/>
  </r>
  <r>
    <n v="88"/>
    <x v="55"/>
  </r>
  <r>
    <n v="42"/>
    <x v="56"/>
  </r>
  <r>
    <n v="69"/>
    <x v="57"/>
  </r>
  <r>
    <n v="23"/>
    <x v="58"/>
  </r>
  <r>
    <n v="19"/>
    <x v="59"/>
  </r>
  <r>
    <n v="32"/>
    <x v="60"/>
  </r>
  <r>
    <n v="79"/>
    <x v="61"/>
  </r>
  <r>
    <n v="92"/>
    <x v="62"/>
  </r>
  <r>
    <n v="22"/>
    <x v="63"/>
  </r>
  <r>
    <n v="14"/>
    <x v="64"/>
  </r>
  <r>
    <n v="19"/>
    <x v="55"/>
  </r>
  <r>
    <n v="17"/>
    <x v="65"/>
  </r>
  <r>
    <n v="58"/>
    <x v="66"/>
  </r>
  <r>
    <n v="66"/>
    <x v="31"/>
  </r>
  <r>
    <n v="4"/>
    <x v="67"/>
  </r>
  <r>
    <n v="52"/>
    <x v="68"/>
  </r>
  <r>
    <n v="49"/>
    <x v="69"/>
  </r>
  <r>
    <n v="56"/>
    <x v="52"/>
  </r>
  <r>
    <n v="11"/>
    <x v="41"/>
  </r>
  <r>
    <n v="1"/>
    <x v="24"/>
  </r>
  <r>
    <n v="21"/>
    <x v="70"/>
  </r>
  <r>
    <n v="91"/>
    <x v="71"/>
  </r>
  <r>
    <n v="93"/>
    <x v="72"/>
  </r>
  <r>
    <n v="89"/>
    <x v="73"/>
  </r>
  <r>
    <n v="40"/>
    <x v="74"/>
  </r>
  <r>
    <n v="52"/>
    <x v="75"/>
  </r>
  <r>
    <n v="68"/>
    <x v="1"/>
  </r>
  <r>
    <n v="45"/>
    <x v="76"/>
  </r>
  <r>
    <n v="59"/>
    <x v="77"/>
  </r>
  <r>
    <n v="1"/>
    <x v="78"/>
  </r>
  <r>
    <n v="41"/>
    <x v="79"/>
  </r>
  <r>
    <n v="25"/>
    <x v="80"/>
  </r>
  <r>
    <n v="73"/>
    <x v="81"/>
  </r>
  <r>
    <n v="54"/>
    <x v="16"/>
  </r>
  <r>
    <n v="53"/>
    <x v="82"/>
  </r>
  <r>
    <n v="23"/>
    <x v="83"/>
  </r>
  <r>
    <n v="98"/>
    <x v="84"/>
  </r>
  <r>
    <n v="31"/>
    <x v="85"/>
  </r>
  <r>
    <n v="90"/>
    <x v="86"/>
  </r>
  <r>
    <n v="10"/>
    <x v="87"/>
  </r>
  <r>
    <n v="29"/>
    <x v="88"/>
  </r>
  <r>
    <n v="28"/>
    <x v="89"/>
  </r>
  <r>
    <n v="7"/>
    <x v="59"/>
  </r>
  <r>
    <n v="54"/>
    <x v="90"/>
  </r>
  <r>
    <n v="39"/>
    <x v="91"/>
  </r>
  <r>
    <n v="31"/>
    <x v="92"/>
  </r>
  <r>
    <n v="11"/>
    <x v="93"/>
  </r>
  <r>
    <n v="17"/>
    <x v="94"/>
  </r>
  <r>
    <n v="23"/>
    <x v="95"/>
  </r>
  <r>
    <n v="61"/>
    <x v="96"/>
  </r>
  <r>
    <n v="23"/>
    <x v="71"/>
  </r>
  <r>
    <n v="5"/>
    <x v="59"/>
  </r>
  <r>
    <n v="58"/>
    <x v="49"/>
  </r>
  <r>
    <n v="33"/>
    <x v="97"/>
  </r>
  <r>
    <n v="12"/>
    <x v="37"/>
  </r>
  <r>
    <n v="11"/>
    <x v="93"/>
  </r>
  <r>
    <n v="5"/>
    <x v="49"/>
  </r>
  <r>
    <n v="71"/>
    <x v="98"/>
  </r>
  <r>
    <n v="13"/>
    <x v="99"/>
  </r>
  <r>
    <n v="51"/>
    <x v="34"/>
  </r>
  <r>
    <n v="4"/>
    <x v="100"/>
  </r>
  <r>
    <n v="36"/>
    <x v="101"/>
  </r>
  <r>
    <n v="90"/>
    <x v="102"/>
  </r>
  <r>
    <n v="60"/>
    <x v="103"/>
  </r>
  <r>
    <n v="45"/>
    <x v="104"/>
  </r>
  <r>
    <n v="2"/>
    <x v="105"/>
  </r>
  <r>
    <n v="30"/>
    <x v="46"/>
  </r>
  <r>
    <n v="88"/>
    <x v="106"/>
  </r>
  <r>
    <n v="29"/>
    <x v="107"/>
  </r>
  <r>
    <n v="3"/>
    <x v="108"/>
  </r>
  <r>
    <n v="91"/>
    <x v="109"/>
  </r>
  <r>
    <n v="21"/>
    <x v="110"/>
  </r>
  <r>
    <n v="37"/>
    <x v="105"/>
  </r>
  <r>
    <n v="70"/>
    <x v="111"/>
  </r>
  <r>
    <n v="25"/>
    <x v="112"/>
  </r>
  <r>
    <n v="76"/>
    <x v="113"/>
  </r>
  <r>
    <n v="85"/>
    <x v="114"/>
  </r>
  <r>
    <n v="42"/>
    <x v="115"/>
  </r>
  <r>
    <n v="5"/>
    <x v="116"/>
  </r>
  <r>
    <n v="59"/>
    <x v="10"/>
  </r>
  <r>
    <n v="93"/>
    <x v="117"/>
  </r>
  <r>
    <n v="46"/>
    <x v="118"/>
  </r>
  <r>
    <n v="38"/>
    <x v="119"/>
  </r>
  <r>
    <n v="42"/>
    <x v="120"/>
  </r>
  <r>
    <n v="96"/>
    <x v="3"/>
  </r>
  <r>
    <n v="43"/>
    <x v="121"/>
  </r>
  <r>
    <n v="48"/>
    <x v="122"/>
  </r>
  <r>
    <n v="44"/>
    <x v="123"/>
  </r>
  <r>
    <n v="54"/>
    <x v="124"/>
  </r>
  <r>
    <n v="56"/>
    <x v="125"/>
  </r>
  <r>
    <n v="50"/>
    <x v="126"/>
  </r>
  <r>
    <n v="76"/>
    <x v="127"/>
  </r>
  <r>
    <n v="41"/>
    <x v="128"/>
  </r>
  <r>
    <n v="99"/>
    <x v="77"/>
  </r>
  <r>
    <n v="89"/>
    <x v="129"/>
  </r>
  <r>
    <n v="82"/>
    <x v="130"/>
  </r>
  <r>
    <n v="80"/>
    <x v="131"/>
  </r>
  <r>
    <n v="1"/>
    <x v="132"/>
  </r>
  <r>
    <n v="27"/>
    <x v="133"/>
  </r>
  <r>
    <n v="11"/>
    <x v="134"/>
  </r>
  <r>
    <n v="77"/>
    <x v="80"/>
  </r>
  <r>
    <n v="100"/>
    <x v="135"/>
  </r>
  <r>
    <n v="33"/>
    <x v="136"/>
  </r>
  <r>
    <n v="42"/>
    <x v="137"/>
  </r>
  <r>
    <n v="6"/>
    <x v="138"/>
  </r>
  <r>
    <n v="9"/>
    <x v="139"/>
  </r>
  <r>
    <n v="100"/>
    <x v="134"/>
  </r>
  <r>
    <n v="17"/>
    <x v="140"/>
  </r>
  <r>
    <n v="30"/>
    <x v="125"/>
  </r>
  <r>
    <n v="70"/>
    <x v="141"/>
  </r>
  <r>
    <n v="29"/>
    <x v="142"/>
  </r>
  <r>
    <n v="60"/>
    <x v="77"/>
  </r>
  <r>
    <n v="92"/>
    <x v="143"/>
  </r>
  <r>
    <n v="68"/>
    <x v="144"/>
  </r>
  <r>
    <n v="26"/>
    <x v="145"/>
  </r>
  <r>
    <n v="59"/>
    <x v="2"/>
  </r>
  <r>
    <n v="97"/>
    <x v="51"/>
  </r>
  <r>
    <n v="84"/>
    <x v="146"/>
  </r>
  <r>
    <n v="78"/>
    <x v="147"/>
  </r>
  <r>
    <n v="2"/>
    <x v="148"/>
  </r>
  <r>
    <n v="89"/>
    <x v="6"/>
  </r>
  <r>
    <n v="91"/>
    <x v="149"/>
  </r>
  <r>
    <n v="66"/>
    <x v="39"/>
  </r>
  <r>
    <n v="43"/>
    <x v="150"/>
  </r>
  <r>
    <n v="43"/>
    <x v="17"/>
  </r>
  <r>
    <n v="0"/>
    <x v="120"/>
  </r>
  <r>
    <n v="14"/>
    <x v="151"/>
  </r>
  <r>
    <n v="73"/>
    <x v="110"/>
  </r>
  <r>
    <n v="72"/>
    <x v="152"/>
  </r>
  <r>
    <n v="50"/>
    <x v="153"/>
  </r>
  <r>
    <n v="1"/>
    <x v="154"/>
  </r>
  <r>
    <n v="64"/>
    <x v="128"/>
  </r>
  <r>
    <n v="1"/>
    <x v="155"/>
  </r>
  <r>
    <n v="23"/>
    <x v="156"/>
  </r>
  <r>
    <n v="59"/>
    <x v="157"/>
  </r>
  <r>
    <n v="55"/>
    <x v="12"/>
  </r>
  <r>
    <n v="13"/>
    <x v="158"/>
  </r>
  <r>
    <n v="78"/>
    <x v="73"/>
  </r>
  <r>
    <n v="92"/>
    <x v="72"/>
  </r>
  <r>
    <n v="47"/>
    <x v="159"/>
  </r>
  <r>
    <n v="69"/>
    <x v="55"/>
  </r>
  <r>
    <n v="60"/>
    <x v="153"/>
  </r>
  <r>
    <n v="40"/>
    <x v="24"/>
  </r>
  <r>
    <n v="47"/>
    <x v="97"/>
  </r>
  <r>
    <n v="98"/>
    <x v="160"/>
  </r>
  <r>
    <n v="35"/>
    <x v="117"/>
  </r>
  <r>
    <n v="0"/>
    <x v="161"/>
  </r>
  <r>
    <n v="75"/>
    <x v="36"/>
  </r>
  <r>
    <n v="78"/>
    <x v="73"/>
  </r>
  <r>
    <n v="85"/>
    <x v="0"/>
  </r>
  <r>
    <n v="9"/>
    <x v="40"/>
  </r>
  <r>
    <n v="0"/>
    <x v="162"/>
  </r>
  <r>
    <n v="47"/>
    <x v="43"/>
  </r>
  <r>
    <n v="81"/>
    <x v="163"/>
  </r>
  <r>
    <n v="9"/>
    <x v="42"/>
  </r>
  <r>
    <n v="31"/>
    <x v="8"/>
  </r>
  <r>
    <n v="72"/>
    <x v="164"/>
  </r>
  <r>
    <n v="9"/>
    <x v="165"/>
  </r>
  <r>
    <n v="32"/>
    <x v="20"/>
  </r>
  <r>
    <n v="73"/>
    <x v="166"/>
  </r>
  <r>
    <n v="78"/>
    <x v="99"/>
  </r>
  <r>
    <n v="21"/>
    <x v="167"/>
  </r>
  <r>
    <n v="48"/>
    <x v="168"/>
  </r>
  <r>
    <n v="5"/>
    <x v="96"/>
  </r>
  <r>
    <n v="45"/>
    <x v="169"/>
  </r>
  <r>
    <n v="41"/>
    <x v="3"/>
  </r>
  <r>
    <n v="53"/>
    <x v="110"/>
  </r>
  <r>
    <n v="43"/>
    <x v="170"/>
  </r>
  <r>
    <n v="83"/>
    <x v="69"/>
  </r>
  <r>
    <n v="60"/>
    <x v="171"/>
  </r>
  <r>
    <n v="25"/>
    <x v="136"/>
  </r>
  <r>
    <n v="2"/>
    <x v="102"/>
  </r>
  <r>
    <n v="3"/>
    <x v="53"/>
  </r>
  <r>
    <n v="35"/>
    <x v="125"/>
  </r>
  <r>
    <n v="71"/>
    <x v="110"/>
  </r>
  <r>
    <n v="65"/>
    <x v="66"/>
  </r>
  <r>
    <n v="89"/>
    <x v="172"/>
  </r>
  <r>
    <n v="94"/>
    <x v="45"/>
  </r>
  <r>
    <n v="65"/>
    <x v="123"/>
  </r>
  <r>
    <n v="65"/>
    <x v="173"/>
  </r>
  <r>
    <n v="23"/>
    <x v="156"/>
  </r>
  <r>
    <n v="15"/>
    <x v="106"/>
  </r>
  <r>
    <n v="57"/>
    <x v="174"/>
  </r>
  <r>
    <n v="0"/>
    <x v="175"/>
  </r>
  <r>
    <n v="26"/>
    <x v="176"/>
  </r>
  <r>
    <n v="65"/>
    <x v="82"/>
  </r>
  <r>
    <n v="12"/>
    <x v="177"/>
  </r>
  <r>
    <n v="39"/>
    <x v="132"/>
  </r>
  <r>
    <n v="44"/>
    <x v="17"/>
  </r>
  <r>
    <n v="8"/>
    <x v="178"/>
  </r>
  <r>
    <n v="76"/>
    <x v="174"/>
  </r>
  <r>
    <n v="1"/>
    <x v="103"/>
  </r>
  <r>
    <n v="80"/>
    <x v="36"/>
  </r>
  <r>
    <n v="64"/>
    <x v="179"/>
  </r>
  <r>
    <n v="42"/>
    <x v="180"/>
  </r>
  <r>
    <n v="31"/>
    <x v="145"/>
  </r>
  <r>
    <n v="43"/>
    <x v="181"/>
  </r>
  <r>
    <n v="24"/>
    <x v="182"/>
  </r>
  <r>
    <n v="14"/>
    <x v="55"/>
  </r>
  <r>
    <n v="40"/>
    <x v="165"/>
  </r>
  <r>
    <n v="99"/>
    <x v="141"/>
  </r>
  <r>
    <n v="59"/>
    <x v="183"/>
  </r>
  <r>
    <n v="86"/>
    <x v="134"/>
  </r>
  <r>
    <n v="21"/>
    <x v="184"/>
  </r>
  <r>
    <n v="9"/>
    <x v="111"/>
  </r>
  <r>
    <n v="72"/>
    <x v="178"/>
  </r>
  <r>
    <n v="45"/>
    <x v="6"/>
  </r>
  <r>
    <n v="66"/>
    <x v="185"/>
  </r>
  <r>
    <n v="48"/>
    <x v="133"/>
  </r>
  <r>
    <n v="79"/>
    <x v="186"/>
  </r>
  <r>
    <n v="82"/>
    <x v="72"/>
  </r>
  <r>
    <n v="75"/>
    <x v="26"/>
  </r>
  <r>
    <n v="2"/>
    <x v="187"/>
  </r>
  <r>
    <n v="82"/>
    <x v="108"/>
  </r>
  <r>
    <n v="92"/>
    <x v="188"/>
  </r>
  <r>
    <n v="84"/>
    <x v="53"/>
  </r>
  <r>
    <n v="6"/>
    <x v="188"/>
  </r>
  <r>
    <n v="89"/>
    <x v="189"/>
  </r>
  <r>
    <n v="51"/>
    <x v="190"/>
  </r>
  <r>
    <n v="41"/>
    <x v="9"/>
  </r>
  <r>
    <n v="3"/>
    <x v="100"/>
  </r>
  <r>
    <n v="8"/>
    <x v="120"/>
  </r>
  <r>
    <n v="61"/>
    <x v="11"/>
  </r>
  <r>
    <n v="17"/>
    <x v="191"/>
  </r>
  <r>
    <n v="33"/>
    <x v="192"/>
  </r>
  <r>
    <n v="78"/>
    <x v="56"/>
  </r>
  <r>
    <n v="7"/>
    <x v="193"/>
  </r>
  <r>
    <n v="37"/>
    <x v="10"/>
  </r>
  <r>
    <n v="13"/>
    <x v="194"/>
  </r>
  <r>
    <n v="88"/>
    <x v="195"/>
  </r>
  <r>
    <n v="98"/>
    <x v="196"/>
  </r>
  <r>
    <n v="37"/>
    <x v="197"/>
  </r>
  <r>
    <n v="80"/>
    <x v="37"/>
  </r>
  <r>
    <n v="38"/>
    <x v="170"/>
  </r>
  <r>
    <n v="81"/>
    <x v="198"/>
  </r>
  <r>
    <n v="44"/>
    <x v="199"/>
  </r>
  <r>
    <n v="63"/>
    <x v="4"/>
  </r>
  <r>
    <n v="100"/>
    <x v="200"/>
  </r>
  <r>
    <n v="2"/>
    <x v="78"/>
  </r>
  <r>
    <n v="27"/>
    <x v="66"/>
  </r>
  <r>
    <n v="27"/>
    <x v="201"/>
  </r>
  <r>
    <n v="91"/>
    <x v="99"/>
  </r>
  <r>
    <n v="22"/>
    <x v="115"/>
  </r>
  <r>
    <n v="3"/>
    <x v="198"/>
  </r>
  <r>
    <n v="24"/>
    <x v="107"/>
  </r>
  <r>
    <n v="47"/>
    <x v="202"/>
  </r>
  <r>
    <n v="41"/>
    <x v="203"/>
  </r>
  <r>
    <n v="70"/>
    <x v="202"/>
  </r>
  <r>
    <n v="7"/>
    <x v="204"/>
  </r>
  <r>
    <n v="44"/>
    <x v="8"/>
  </r>
  <r>
    <n v="17"/>
    <x v="158"/>
  </r>
  <r>
    <n v="89"/>
    <x v="107"/>
  </r>
  <r>
    <n v="36"/>
    <x v="143"/>
  </r>
  <r>
    <n v="17"/>
    <x v="57"/>
  </r>
  <r>
    <n v="46"/>
    <x v="205"/>
  </r>
  <r>
    <n v="1"/>
    <x v="159"/>
  </r>
  <r>
    <n v="21"/>
    <x v="89"/>
  </r>
  <r>
    <n v="0"/>
    <x v="150"/>
  </r>
  <r>
    <n v="43"/>
    <x v="206"/>
  </r>
  <r>
    <n v="4"/>
    <x v="207"/>
  </r>
  <r>
    <n v="61"/>
    <x v="42"/>
  </r>
  <r>
    <n v="31"/>
    <x v="189"/>
  </r>
  <r>
    <n v="6"/>
    <x v="64"/>
  </r>
  <r>
    <n v="88"/>
    <x v="55"/>
  </r>
  <r>
    <n v="13"/>
    <x v="208"/>
  </r>
  <r>
    <n v="36"/>
    <x v="209"/>
  </r>
  <r>
    <n v="63"/>
    <x v="118"/>
  </r>
  <r>
    <n v="46"/>
    <x v="91"/>
  </r>
  <r>
    <n v="47"/>
    <x v="39"/>
  </r>
  <r>
    <n v="34"/>
    <x v="210"/>
  </r>
  <r>
    <n v="36"/>
    <x v="211"/>
  </r>
  <r>
    <n v="98"/>
    <x v="121"/>
  </r>
  <r>
    <n v="21"/>
    <x v="59"/>
  </r>
  <r>
    <n v="58"/>
    <x v="212"/>
  </r>
  <r>
    <n v="38"/>
    <x v="213"/>
  </r>
  <r>
    <n v="73"/>
    <x v="214"/>
  </r>
  <r>
    <n v="15"/>
    <x v="107"/>
  </r>
  <r>
    <n v="50"/>
    <x v="8"/>
  </r>
  <r>
    <n v="63"/>
    <x v="176"/>
  </r>
  <r>
    <n v="93"/>
    <x v="215"/>
  </r>
  <r>
    <n v="88"/>
    <x v="4"/>
  </r>
  <r>
    <n v="92"/>
    <x v="216"/>
  </r>
  <r>
    <n v="55"/>
    <x v="164"/>
  </r>
  <r>
    <n v="46"/>
    <x v="107"/>
  </r>
  <r>
    <n v="28"/>
    <x v="216"/>
  </r>
  <r>
    <n v="42"/>
    <x v="160"/>
  </r>
  <r>
    <n v="70"/>
    <x v="147"/>
  </r>
  <r>
    <n v="96"/>
    <x v="217"/>
  </r>
  <r>
    <n v="50"/>
    <x v="218"/>
  </r>
  <r>
    <n v="56"/>
    <x v="57"/>
  </r>
  <r>
    <n v="99"/>
    <x v="96"/>
  </r>
  <r>
    <n v="42"/>
    <x v="219"/>
  </r>
  <r>
    <n v="19"/>
    <x v="220"/>
  </r>
  <r>
    <n v="52"/>
    <x v="123"/>
  </r>
  <r>
    <n v="55"/>
    <x v="125"/>
  </r>
  <r>
    <n v="100"/>
    <x v="221"/>
  </r>
  <r>
    <n v="35"/>
    <x v="7"/>
  </r>
  <r>
    <n v="6"/>
    <x v="222"/>
  </r>
  <r>
    <n v="77"/>
    <x v="75"/>
  </r>
  <r>
    <n v="68"/>
    <x v="18"/>
  </r>
  <r>
    <n v="54"/>
    <x v="223"/>
  </r>
  <r>
    <n v="79"/>
    <x v="178"/>
  </r>
  <r>
    <n v="62"/>
    <x v="60"/>
  </r>
  <r>
    <n v="41"/>
    <x v="224"/>
  </r>
  <r>
    <n v="81"/>
    <x v="214"/>
  </r>
  <r>
    <n v="69"/>
    <x v="225"/>
  </r>
  <r>
    <n v="18"/>
    <x v="226"/>
  </r>
  <r>
    <n v="26"/>
    <x v="192"/>
  </r>
  <r>
    <n v="66"/>
    <x v="198"/>
  </r>
  <r>
    <n v="36"/>
    <x v="11"/>
  </r>
  <r>
    <n v="55"/>
    <x v="227"/>
  </r>
  <r>
    <n v="33"/>
    <x v="228"/>
  </r>
  <r>
    <n v="64"/>
    <x v="229"/>
  </r>
  <r>
    <n v="90"/>
    <x v="77"/>
  </r>
  <r>
    <n v="54"/>
    <x v="230"/>
  </r>
  <r>
    <n v="83"/>
    <x v="129"/>
  </r>
  <r>
    <n v="10"/>
    <x v="186"/>
  </r>
  <r>
    <n v="1"/>
    <x v="90"/>
  </r>
  <r>
    <n v="47"/>
    <x v="100"/>
  </r>
  <r>
    <n v="69"/>
    <x v="184"/>
  </r>
  <r>
    <n v="3"/>
    <x v="192"/>
  </r>
  <r>
    <n v="29"/>
    <x v="231"/>
  </r>
  <r>
    <n v="13"/>
    <x v="196"/>
  </r>
  <r>
    <n v="38"/>
    <x v="210"/>
  </r>
  <r>
    <n v="89"/>
    <x v="79"/>
  </r>
  <r>
    <n v="90"/>
    <x v="159"/>
  </r>
  <r>
    <n v="13"/>
    <x v="46"/>
  </r>
  <r>
    <n v="90"/>
    <x v="185"/>
  </r>
  <r>
    <n v="6"/>
    <x v="28"/>
  </r>
  <r>
    <n v="87"/>
    <x v="33"/>
  </r>
  <r>
    <n v="75"/>
    <x v="100"/>
  </r>
  <r>
    <n v="97"/>
    <x v="232"/>
  </r>
  <r>
    <n v="87"/>
    <x v="233"/>
  </r>
  <r>
    <n v="41"/>
    <x v="234"/>
  </r>
  <r>
    <n v="20"/>
    <x v="235"/>
  </r>
  <r>
    <n v="92"/>
    <x v="236"/>
  </r>
  <r>
    <n v="6"/>
    <x v="91"/>
  </r>
  <r>
    <n v="19"/>
    <x v="162"/>
  </r>
  <r>
    <n v="11"/>
    <x v="237"/>
  </r>
  <r>
    <n v="20"/>
    <x v="233"/>
  </r>
  <r>
    <n v="16"/>
    <x v="238"/>
  </r>
  <r>
    <n v="96"/>
    <x v="239"/>
  </r>
  <r>
    <n v="18"/>
    <x v="103"/>
  </r>
  <r>
    <n v="81"/>
    <x v="240"/>
  </r>
  <r>
    <n v="83"/>
    <x v="128"/>
  </r>
  <r>
    <n v="45"/>
    <x v="90"/>
  </r>
  <r>
    <n v="45"/>
    <x v="102"/>
  </r>
  <r>
    <n v="3"/>
    <x v="241"/>
  </r>
  <r>
    <n v="56"/>
    <x v="219"/>
  </r>
  <r>
    <n v="52"/>
    <x v="46"/>
  </r>
  <r>
    <n v="93"/>
    <x v="242"/>
  </r>
  <r>
    <n v="55"/>
    <x v="117"/>
  </r>
  <r>
    <n v="26"/>
    <x v="242"/>
  </r>
  <r>
    <n v="74"/>
    <x v="162"/>
  </r>
  <r>
    <n v="60"/>
    <x v="194"/>
  </r>
  <r>
    <n v="46"/>
    <x v="176"/>
  </r>
  <r>
    <n v="98"/>
    <x v="83"/>
  </r>
  <r>
    <n v="58"/>
    <x v="9"/>
  </r>
  <r>
    <n v="64"/>
    <x v="10"/>
  </r>
  <r>
    <n v="38"/>
    <x v="243"/>
  </r>
  <r>
    <n v="21"/>
    <x v="225"/>
  </r>
  <r>
    <n v="76"/>
    <x v="3"/>
  </r>
  <r>
    <n v="37"/>
    <x v="36"/>
  </r>
  <r>
    <n v="50"/>
    <x v="244"/>
  </r>
  <r>
    <n v="27"/>
    <x v="207"/>
  </r>
  <r>
    <n v="8"/>
    <x v="15"/>
  </r>
  <r>
    <n v="23"/>
    <x v="9"/>
  </r>
  <r>
    <n v="26"/>
    <x v="108"/>
  </r>
  <r>
    <n v="0"/>
    <x v="235"/>
  </r>
  <r>
    <n v="85"/>
    <x v="89"/>
  </r>
  <r>
    <n v="93"/>
    <x v="54"/>
  </r>
  <r>
    <n v="47"/>
    <x v="172"/>
  </r>
  <r>
    <n v="8"/>
    <x v="114"/>
  </r>
  <r>
    <n v="14"/>
    <x v="245"/>
  </r>
  <r>
    <n v="6"/>
    <x v="246"/>
  </r>
  <r>
    <n v="81"/>
    <x v="115"/>
  </r>
  <r>
    <n v="71"/>
    <x v="69"/>
  </r>
  <r>
    <n v="32"/>
    <x v="247"/>
  </r>
  <r>
    <n v="39"/>
    <x v="178"/>
  </r>
  <r>
    <n v="87"/>
    <x v="22"/>
  </r>
  <r>
    <n v="9"/>
    <x v="185"/>
  </r>
  <r>
    <n v="75"/>
    <x v="76"/>
  </r>
  <r>
    <n v="99"/>
    <x v="181"/>
  </r>
  <r>
    <n v="64"/>
    <x v="248"/>
  </r>
  <r>
    <n v="71"/>
    <x v="174"/>
  </r>
  <r>
    <n v="56"/>
    <x v="147"/>
  </r>
  <r>
    <n v="35"/>
    <x v="249"/>
  </r>
  <r>
    <n v="92"/>
    <x v="7"/>
  </r>
  <r>
    <n v="98"/>
    <x v="250"/>
  </r>
  <r>
    <n v="53"/>
    <x v="251"/>
  </r>
  <r>
    <n v="60"/>
    <x v="63"/>
  </r>
  <r>
    <n v="62"/>
    <x v="252"/>
  </r>
  <r>
    <n v="22"/>
    <x v="1"/>
  </r>
  <r>
    <n v="29"/>
    <x v="154"/>
  </r>
  <r>
    <n v="10"/>
    <x v="253"/>
  </r>
  <r>
    <n v="4"/>
    <x v="10"/>
  </r>
  <r>
    <n v="62"/>
    <x v="140"/>
  </r>
  <r>
    <n v="57"/>
    <x v="254"/>
  </r>
  <r>
    <n v="12"/>
    <x v="255"/>
  </r>
  <r>
    <n v="72"/>
    <x v="256"/>
  </r>
  <r>
    <n v="40"/>
    <x v="26"/>
  </r>
  <r>
    <n v="26"/>
    <x v="214"/>
  </r>
  <r>
    <n v="97"/>
    <x v="223"/>
  </r>
  <r>
    <n v="37"/>
    <x v="257"/>
  </r>
  <r>
    <n v="24"/>
    <x v="220"/>
  </r>
  <r>
    <n v="47"/>
    <x v="56"/>
  </r>
  <r>
    <n v="77"/>
    <x v="258"/>
  </r>
  <r>
    <n v="50"/>
    <x v="72"/>
  </r>
  <r>
    <n v="65"/>
    <x v="34"/>
  </r>
  <r>
    <n v="94"/>
    <x v="259"/>
  </r>
  <r>
    <n v="92"/>
    <x v="260"/>
  </r>
  <r>
    <n v="40"/>
    <x v="199"/>
  </r>
  <r>
    <n v="10"/>
    <x v="144"/>
  </r>
  <r>
    <n v="59"/>
    <x v="201"/>
  </r>
  <r>
    <n v="10"/>
    <x v="246"/>
  </r>
  <r>
    <n v="47"/>
    <x v="261"/>
  </r>
  <r>
    <n v="40"/>
    <x v="262"/>
  </r>
  <r>
    <n v="95"/>
    <x v="129"/>
  </r>
  <r>
    <n v="15"/>
    <x v="230"/>
  </r>
  <r>
    <n v="21"/>
    <x v="76"/>
  </r>
  <r>
    <n v="22"/>
    <x v="263"/>
  </r>
  <r>
    <n v="0"/>
    <x v="70"/>
  </r>
  <r>
    <n v="14"/>
    <x v="110"/>
  </r>
  <r>
    <n v="97"/>
    <x v="234"/>
  </r>
  <r>
    <n v="17"/>
    <x v="162"/>
  </r>
  <r>
    <n v="2"/>
    <x v="264"/>
  </r>
  <r>
    <n v="22"/>
    <x v="157"/>
  </r>
  <r>
    <n v="79"/>
    <x v="32"/>
  </r>
  <r>
    <n v="73"/>
    <x v="110"/>
  </r>
  <r>
    <n v="92"/>
    <x v="264"/>
  </r>
  <r>
    <n v="27"/>
    <x v="167"/>
  </r>
  <r>
    <n v="27"/>
    <x v="210"/>
  </r>
  <r>
    <n v="7"/>
    <x v="87"/>
  </r>
  <r>
    <n v="30"/>
    <x v="99"/>
  </r>
  <r>
    <n v="31"/>
    <x v="158"/>
  </r>
  <r>
    <n v="11"/>
    <x v="256"/>
  </r>
  <r>
    <n v="20"/>
    <x v="165"/>
  </r>
  <r>
    <n v="92"/>
    <x v="133"/>
  </r>
  <r>
    <n v="4"/>
    <x v="265"/>
  </r>
  <r>
    <n v="84"/>
    <x v="266"/>
  </r>
  <r>
    <n v="72"/>
    <x v="172"/>
  </r>
  <r>
    <n v="83"/>
    <x v="135"/>
  </r>
  <r>
    <n v="94"/>
    <x v="228"/>
  </r>
  <r>
    <n v="86"/>
    <x v="158"/>
  </r>
  <r>
    <n v="54"/>
    <x v="145"/>
  </r>
  <r>
    <n v="29"/>
    <x v="267"/>
  </r>
  <r>
    <n v="55"/>
    <x v="265"/>
  </r>
  <r>
    <n v="9"/>
    <x v="268"/>
  </r>
  <r>
    <n v="56"/>
    <x v="188"/>
  </r>
  <r>
    <n v="50"/>
    <x v="254"/>
  </r>
  <r>
    <n v="48"/>
    <x v="172"/>
  </r>
  <r>
    <n v="2"/>
    <x v="255"/>
  </r>
  <r>
    <n v="11"/>
    <x v="269"/>
  </r>
  <r>
    <n v="85"/>
    <x v="270"/>
  </r>
  <r>
    <n v="86"/>
    <x v="271"/>
  </r>
  <r>
    <n v="79"/>
    <x v="272"/>
  </r>
  <r>
    <n v="33"/>
    <x v="28"/>
  </r>
  <r>
    <n v="72"/>
    <x v="79"/>
  </r>
  <r>
    <n v="91"/>
    <x v="273"/>
  </r>
  <r>
    <n v="75"/>
    <x v="123"/>
  </r>
  <r>
    <n v="49"/>
    <x v="86"/>
  </r>
  <r>
    <n v="75"/>
    <x v="268"/>
  </r>
  <r>
    <n v="55"/>
    <x v="175"/>
  </r>
  <r>
    <n v="84"/>
    <x v="177"/>
  </r>
  <r>
    <n v="11"/>
    <x v="191"/>
  </r>
  <r>
    <n v="57"/>
    <x v="103"/>
  </r>
  <r>
    <n v="13"/>
    <x v="274"/>
  </r>
  <r>
    <n v="36"/>
    <x v="116"/>
  </r>
  <r>
    <n v="77"/>
    <x v="222"/>
  </r>
  <r>
    <n v="9"/>
    <x v="236"/>
  </r>
  <r>
    <n v="18"/>
    <x v="275"/>
  </r>
  <r>
    <n v="89"/>
    <x v="128"/>
  </r>
  <r>
    <n v="5"/>
    <x v="276"/>
  </r>
  <r>
    <n v="43"/>
    <x v="35"/>
  </r>
  <r>
    <n v="89"/>
    <x v="140"/>
  </r>
  <r>
    <n v="30"/>
    <x v="277"/>
  </r>
  <r>
    <n v="23"/>
    <x v="278"/>
  </r>
  <r>
    <n v="16"/>
    <x v="72"/>
  </r>
  <r>
    <n v="10"/>
    <x v="161"/>
  </r>
  <r>
    <n v="83"/>
    <x v="76"/>
  </r>
  <r>
    <n v="23"/>
    <x v="157"/>
  </r>
  <r>
    <n v="85"/>
    <x v="245"/>
  </r>
  <r>
    <n v="51"/>
    <x v="152"/>
  </r>
  <r>
    <n v="24"/>
    <x v="279"/>
  </r>
  <r>
    <n v="93"/>
    <x v="50"/>
  </r>
  <r>
    <n v="80"/>
    <x v="200"/>
  </r>
  <r>
    <n v="69"/>
    <x v="83"/>
  </r>
  <r>
    <n v="28"/>
    <x v="22"/>
  </r>
  <r>
    <n v="58"/>
    <x v="280"/>
  </r>
  <r>
    <n v="2"/>
    <x v="192"/>
  </r>
  <r>
    <n v="15"/>
    <x v="11"/>
  </r>
  <r>
    <n v="43"/>
    <x v="154"/>
  </r>
  <r>
    <n v="17"/>
    <x v="23"/>
  </r>
  <r>
    <n v="5"/>
    <x v="253"/>
  </r>
  <r>
    <n v="76"/>
    <x v="50"/>
  </r>
  <r>
    <n v="85"/>
    <x v="82"/>
  </r>
  <r>
    <n v="51"/>
    <x v="193"/>
  </r>
  <r>
    <n v="74"/>
    <x v="118"/>
  </r>
  <r>
    <n v="57"/>
    <x v="31"/>
  </r>
  <r>
    <n v="99"/>
    <x v="281"/>
  </r>
  <r>
    <n v="44"/>
    <x v="107"/>
  </r>
  <r>
    <n v="23"/>
    <x v="198"/>
  </r>
  <r>
    <n v="28"/>
    <x v="131"/>
  </r>
  <r>
    <n v="29"/>
    <x v="271"/>
  </r>
  <r>
    <n v="86"/>
    <x v="208"/>
  </r>
  <r>
    <n v="17"/>
    <x v="282"/>
  </r>
  <r>
    <n v="25"/>
    <x v="232"/>
  </r>
  <r>
    <n v="13"/>
    <x v="283"/>
  </r>
  <r>
    <n v="17"/>
    <x v="83"/>
  </r>
  <r>
    <n v="25"/>
    <x v="278"/>
  </r>
  <r>
    <n v="53"/>
    <x v="24"/>
  </r>
  <r>
    <n v="24"/>
    <x v="96"/>
  </r>
  <r>
    <n v="37"/>
    <x v="284"/>
  </r>
  <r>
    <n v="69"/>
    <x v="285"/>
  </r>
  <r>
    <n v="34"/>
    <x v="9"/>
  </r>
  <r>
    <n v="46"/>
    <x v="206"/>
  </r>
  <r>
    <n v="30"/>
    <x v="286"/>
  </r>
  <r>
    <n v="19"/>
    <x v="106"/>
  </r>
  <r>
    <n v="18"/>
    <x v="17"/>
  </r>
  <r>
    <n v="94"/>
    <x v="187"/>
  </r>
  <r>
    <n v="9"/>
    <x v="149"/>
  </r>
  <r>
    <n v="5"/>
    <x v="154"/>
  </r>
  <r>
    <n v="83"/>
    <x v="34"/>
  </r>
  <r>
    <n v="47"/>
    <x v="137"/>
  </r>
  <r>
    <n v="55"/>
    <x v="34"/>
  </r>
  <r>
    <n v="10"/>
    <x v="287"/>
  </r>
  <r>
    <n v="34"/>
    <x v="288"/>
  </r>
  <r>
    <n v="27"/>
    <x v="96"/>
  </r>
  <r>
    <n v="77"/>
    <x v="270"/>
  </r>
  <r>
    <n v="35"/>
    <x v="168"/>
  </r>
  <r>
    <n v="14"/>
    <x v="211"/>
  </r>
  <r>
    <n v="36"/>
    <x v="35"/>
  </r>
  <r>
    <n v="91"/>
    <x v="78"/>
  </r>
  <r>
    <n v="59"/>
    <x v="135"/>
  </r>
  <r>
    <n v="10"/>
    <x v="289"/>
  </r>
  <r>
    <n v="61"/>
    <x v="14"/>
  </r>
  <r>
    <n v="49"/>
    <x v="249"/>
  </r>
  <r>
    <n v="20"/>
    <x v="259"/>
  </r>
  <r>
    <n v="53"/>
    <x v="126"/>
  </r>
  <r>
    <n v="16"/>
    <x v="236"/>
  </r>
  <r>
    <n v="57"/>
    <x v="257"/>
  </r>
  <r>
    <n v="70"/>
    <x v="52"/>
  </r>
  <r>
    <n v="100"/>
    <x v="98"/>
  </r>
  <r>
    <n v="4"/>
    <x v="228"/>
  </r>
  <r>
    <n v="60"/>
    <x v="1"/>
  </r>
  <r>
    <n v="6"/>
    <x v="290"/>
  </r>
  <r>
    <n v="11"/>
    <x v="287"/>
  </r>
  <r>
    <n v="64"/>
    <x v="291"/>
  </r>
  <r>
    <n v="85"/>
    <x v="292"/>
  </r>
  <r>
    <n v="16"/>
    <x v="45"/>
  </r>
  <r>
    <n v="17"/>
    <x v="204"/>
  </r>
  <r>
    <n v="42"/>
    <x v="219"/>
  </r>
  <r>
    <n v="85"/>
    <x v="239"/>
  </r>
  <r>
    <n v="27"/>
    <x v="293"/>
  </r>
  <r>
    <n v="64"/>
    <x v="85"/>
  </r>
  <r>
    <n v="70"/>
    <x v="94"/>
  </r>
  <r>
    <n v="40"/>
    <x v="205"/>
  </r>
  <r>
    <n v="49"/>
    <x v="92"/>
  </r>
  <r>
    <n v="68"/>
    <x v="294"/>
  </r>
  <r>
    <n v="16"/>
    <x v="271"/>
  </r>
  <r>
    <n v="77"/>
    <x v="164"/>
  </r>
  <r>
    <n v="53"/>
    <x v="276"/>
  </r>
  <r>
    <n v="15"/>
    <x v="243"/>
  </r>
  <r>
    <n v="81"/>
    <x v="59"/>
  </r>
  <r>
    <n v="82"/>
    <x v="84"/>
  </r>
  <r>
    <n v="11"/>
    <x v="248"/>
  </r>
  <r>
    <n v="42"/>
    <x v="295"/>
  </r>
  <r>
    <n v="79"/>
    <x v="118"/>
  </r>
  <r>
    <n v="20"/>
    <x v="149"/>
  </r>
  <r>
    <n v="5"/>
    <x v="296"/>
  </r>
  <r>
    <n v="70"/>
    <x v="230"/>
  </r>
  <r>
    <n v="88"/>
    <x v="68"/>
  </r>
  <r>
    <n v="84"/>
    <x v="233"/>
  </r>
  <r>
    <n v="9"/>
    <x v="273"/>
  </r>
  <r>
    <n v="38"/>
    <x v="244"/>
  </r>
  <r>
    <n v="4"/>
    <x v="212"/>
  </r>
  <r>
    <n v="42"/>
    <x v="294"/>
  </r>
  <r>
    <n v="26"/>
    <x v="297"/>
  </r>
  <r>
    <n v="57"/>
    <x v="2"/>
  </r>
  <r>
    <n v="34"/>
    <x v="298"/>
  </r>
  <r>
    <n v="69"/>
    <x v="161"/>
  </r>
  <r>
    <n v="19"/>
    <x v="299"/>
  </r>
  <r>
    <n v="94"/>
    <x v="300"/>
  </r>
  <r>
    <n v="72"/>
    <x v="126"/>
  </r>
  <r>
    <n v="80"/>
    <x v="127"/>
  </r>
  <r>
    <n v="28"/>
    <x v="79"/>
  </r>
  <r>
    <n v="13"/>
    <x v="47"/>
  </r>
  <r>
    <n v="23"/>
    <x v="84"/>
  </r>
  <r>
    <n v="76"/>
    <x v="32"/>
  </r>
  <r>
    <n v="89"/>
    <x v="248"/>
  </r>
  <r>
    <n v="40"/>
    <x v="96"/>
  </r>
  <r>
    <n v="48"/>
    <x v="10"/>
  </r>
  <r>
    <n v="20"/>
    <x v="110"/>
  </r>
  <r>
    <n v="55"/>
    <x v="106"/>
  </r>
  <r>
    <n v="52"/>
    <x v="141"/>
  </r>
  <r>
    <n v="39"/>
    <x v="264"/>
  </r>
  <r>
    <n v="13"/>
    <x v="210"/>
  </r>
  <r>
    <n v="78"/>
    <x v="288"/>
  </r>
  <r>
    <n v="31"/>
    <x v="280"/>
  </r>
  <r>
    <n v="86"/>
    <x v="232"/>
  </r>
  <r>
    <n v="1"/>
    <x v="87"/>
  </r>
  <r>
    <n v="45"/>
    <x v="214"/>
  </r>
  <r>
    <n v="20"/>
    <x v="93"/>
  </r>
  <r>
    <n v="51"/>
    <x v="270"/>
  </r>
  <r>
    <n v="45"/>
    <x v="286"/>
  </r>
  <r>
    <n v="17"/>
    <x v="198"/>
  </r>
  <r>
    <n v="98"/>
    <x v="215"/>
  </r>
  <r>
    <n v="12"/>
    <x v="93"/>
  </r>
  <r>
    <n v="66"/>
    <x v="42"/>
  </r>
  <r>
    <n v="45"/>
    <x v="52"/>
  </r>
  <r>
    <n v="24"/>
    <x v="82"/>
  </r>
  <r>
    <n v="18"/>
    <x v="103"/>
  </r>
  <r>
    <n v="94"/>
    <x v="174"/>
  </r>
  <r>
    <n v="31"/>
    <x v="34"/>
  </r>
  <r>
    <n v="8"/>
    <x v="138"/>
  </r>
  <r>
    <n v="67"/>
    <x v="301"/>
  </r>
  <r>
    <n v="100"/>
    <x v="256"/>
  </r>
  <r>
    <n v="71"/>
    <x v="132"/>
  </r>
  <r>
    <n v="60"/>
    <x v="93"/>
  </r>
  <r>
    <n v="62"/>
    <x v="251"/>
  </r>
  <r>
    <n v="53"/>
    <x v="257"/>
  </r>
  <r>
    <n v="63"/>
    <x v="302"/>
  </r>
  <r>
    <n v="64"/>
    <x v="38"/>
  </r>
  <r>
    <n v="14"/>
    <x v="139"/>
  </r>
  <r>
    <n v="45"/>
    <x v="149"/>
  </r>
  <r>
    <n v="62"/>
    <x v="55"/>
  </r>
  <r>
    <n v="69"/>
    <x v="185"/>
  </r>
  <r>
    <n v="47"/>
    <x v="19"/>
  </r>
  <r>
    <n v="34"/>
    <x v="78"/>
  </r>
  <r>
    <n v="19"/>
    <x v="303"/>
  </r>
  <r>
    <n v="88"/>
    <x v="304"/>
  </r>
  <r>
    <n v="38"/>
    <x v="82"/>
  </r>
  <r>
    <n v="46"/>
    <x v="16"/>
  </r>
  <r>
    <n v="89"/>
    <x v="271"/>
  </r>
  <r>
    <n v="31"/>
    <x v="274"/>
  </r>
  <r>
    <n v="50"/>
    <x v="179"/>
  </r>
  <r>
    <n v="50"/>
    <x v="4"/>
  </r>
  <r>
    <n v="31"/>
    <x v="116"/>
  </r>
  <r>
    <n v="46"/>
    <x v="161"/>
  </r>
  <r>
    <n v="36"/>
    <x v="150"/>
  </r>
  <r>
    <n v="76"/>
    <x v="146"/>
  </r>
  <r>
    <n v="85"/>
    <x v="66"/>
  </r>
  <r>
    <n v="96"/>
    <x v="72"/>
  </r>
  <r>
    <n v="59"/>
    <x v="122"/>
  </r>
  <r>
    <n v="39"/>
    <x v="305"/>
  </r>
  <r>
    <n v="64"/>
    <x v="271"/>
  </r>
  <r>
    <n v="91"/>
    <x v="146"/>
  </r>
  <r>
    <n v="53"/>
    <x v="192"/>
  </r>
  <r>
    <n v="34"/>
    <x v="45"/>
  </r>
  <r>
    <n v="55"/>
    <x v="306"/>
  </r>
  <r>
    <n v="2"/>
    <x v="254"/>
  </r>
  <r>
    <n v="40"/>
    <x v="244"/>
  </r>
  <r>
    <n v="29"/>
    <x v="239"/>
  </r>
  <r>
    <n v="75"/>
    <x v="157"/>
  </r>
  <r>
    <n v="82"/>
    <x v="241"/>
  </r>
  <r>
    <n v="98"/>
    <x v="307"/>
  </r>
  <r>
    <n v="84"/>
    <x v="216"/>
  </r>
  <r>
    <n v="73"/>
    <x v="17"/>
  </r>
  <r>
    <n v="18"/>
    <x v="308"/>
  </r>
  <r>
    <n v="13"/>
    <x v="297"/>
  </r>
  <r>
    <n v="17"/>
    <x v="159"/>
  </r>
  <r>
    <n v="23"/>
    <x v="253"/>
  </r>
  <r>
    <n v="5"/>
    <x v="276"/>
  </r>
  <r>
    <n v="26"/>
    <x v="215"/>
  </r>
  <r>
    <n v="14"/>
    <x v="87"/>
  </r>
  <r>
    <n v="79"/>
    <x v="103"/>
  </r>
  <r>
    <n v="53"/>
    <x v="228"/>
  </r>
  <r>
    <n v="34"/>
    <x v="107"/>
  </r>
  <r>
    <n v="85"/>
    <x v="36"/>
  </r>
  <r>
    <n v="33"/>
    <x v="139"/>
  </r>
  <r>
    <n v="7"/>
    <x v="269"/>
  </r>
  <r>
    <n v="14"/>
    <x v="147"/>
  </r>
  <r>
    <n v="4"/>
    <x v="125"/>
  </r>
  <r>
    <n v="74"/>
    <x v="309"/>
  </r>
  <r>
    <n v="28"/>
    <x v="310"/>
  </r>
  <r>
    <n v="4"/>
    <x v="288"/>
  </r>
  <r>
    <n v="52"/>
    <x v="52"/>
  </r>
  <r>
    <n v="89"/>
    <x v="96"/>
  </r>
  <r>
    <n v="62"/>
    <x v="274"/>
  </r>
  <r>
    <n v="51"/>
    <x v="227"/>
  </r>
  <r>
    <n v="79"/>
    <x v="21"/>
  </r>
  <r>
    <n v="58"/>
    <x v="280"/>
  </r>
  <r>
    <n v="86"/>
    <x v="111"/>
  </r>
  <r>
    <n v="11"/>
    <x v="102"/>
  </r>
  <r>
    <n v="38"/>
    <x v="196"/>
  </r>
  <r>
    <n v="70"/>
    <x v="135"/>
  </r>
  <r>
    <n v="82"/>
    <x v="37"/>
  </r>
  <r>
    <n v="11"/>
    <x v="66"/>
  </r>
  <r>
    <n v="79"/>
    <x v="294"/>
  </r>
  <r>
    <n v="100"/>
    <x v="2"/>
  </r>
  <r>
    <n v="94"/>
    <x v="187"/>
  </r>
  <r>
    <n v="42"/>
    <x v="311"/>
  </r>
  <r>
    <n v="99"/>
    <x v="312"/>
  </r>
  <r>
    <n v="13"/>
    <x v="79"/>
  </r>
  <r>
    <n v="15"/>
    <x v="313"/>
  </r>
  <r>
    <n v="8"/>
    <x v="268"/>
  </r>
  <r>
    <n v="39"/>
    <x v="164"/>
  </r>
  <r>
    <n v="34"/>
    <x v="83"/>
  </r>
  <r>
    <n v="50"/>
    <x v="231"/>
  </r>
  <r>
    <n v="15"/>
    <x v="313"/>
  </r>
  <r>
    <n v="5"/>
    <x v="300"/>
  </r>
  <r>
    <n v="28"/>
    <x v="294"/>
  </r>
  <r>
    <n v="50"/>
    <x v="314"/>
  </r>
  <r>
    <n v="64"/>
    <x v="4"/>
  </r>
  <r>
    <n v="13"/>
    <x v="64"/>
  </r>
  <r>
    <n v="78"/>
    <x v="204"/>
  </r>
  <r>
    <n v="82"/>
    <x v="141"/>
  </r>
  <r>
    <n v="67"/>
    <x v="315"/>
  </r>
  <r>
    <n v="14"/>
    <x v="77"/>
  </r>
  <r>
    <n v="23"/>
    <x v="55"/>
  </r>
  <r>
    <n v="16"/>
    <x v="63"/>
  </r>
  <r>
    <n v="68"/>
    <x v="165"/>
  </r>
  <r>
    <n v="61"/>
    <x v="186"/>
  </r>
  <r>
    <n v="23"/>
    <x v="71"/>
  </r>
  <r>
    <n v="49"/>
    <x v="316"/>
  </r>
  <r>
    <n v="48"/>
    <x v="297"/>
  </r>
  <r>
    <n v="24"/>
    <x v="131"/>
  </r>
  <r>
    <n v="27"/>
    <x v="317"/>
  </r>
  <r>
    <n v="39"/>
    <x v="117"/>
  </r>
  <r>
    <n v="16"/>
    <x v="282"/>
  </r>
  <r>
    <n v="24"/>
    <x v="184"/>
  </r>
  <r>
    <n v="26"/>
    <x v="258"/>
  </r>
  <r>
    <n v="63"/>
    <x v="255"/>
  </r>
  <r>
    <n v="90"/>
    <x v="109"/>
  </r>
  <r>
    <n v="99"/>
    <x v="125"/>
  </r>
  <r>
    <n v="44"/>
    <x v="92"/>
  </r>
  <r>
    <n v="82"/>
    <x v="145"/>
  </r>
  <r>
    <n v="37"/>
    <x v="33"/>
  </r>
  <r>
    <n v="81"/>
    <x v="18"/>
  </r>
  <r>
    <n v="34"/>
    <x v="318"/>
  </r>
  <r>
    <n v="21"/>
    <x v="299"/>
  </r>
  <r>
    <n v="37"/>
    <x v="244"/>
  </r>
  <r>
    <n v="30"/>
    <x v="79"/>
  </r>
  <r>
    <n v="80"/>
    <x v="226"/>
  </r>
  <r>
    <n v="79"/>
    <x v="278"/>
  </r>
  <r>
    <n v="52"/>
    <x v="97"/>
  </r>
  <r>
    <n v="60"/>
    <x v="128"/>
  </r>
  <r>
    <n v="94"/>
    <x v="118"/>
  </r>
  <r>
    <n v="42"/>
    <x v="319"/>
  </r>
  <r>
    <n v="83"/>
    <x v="227"/>
  </r>
  <r>
    <n v="8"/>
    <x v="194"/>
  </r>
  <r>
    <n v="83"/>
    <x v="113"/>
  </r>
  <r>
    <n v="66"/>
    <x v="287"/>
  </r>
  <r>
    <n v="51"/>
    <x v="265"/>
  </r>
  <r>
    <n v="52"/>
    <x v="193"/>
  </r>
  <r>
    <n v="15"/>
    <x v="65"/>
  </r>
  <r>
    <n v="6"/>
    <x v="203"/>
  </r>
  <r>
    <n v="48"/>
    <x v="318"/>
  </r>
  <r>
    <n v="97"/>
    <x v="106"/>
  </r>
  <r>
    <n v="12"/>
    <x v="320"/>
  </r>
  <r>
    <n v="1"/>
    <x v="141"/>
  </r>
  <r>
    <n v="7"/>
    <x v="282"/>
  </r>
  <r>
    <n v="62"/>
    <x v="235"/>
  </r>
  <r>
    <n v="37"/>
    <x v="174"/>
  </r>
  <r>
    <n v="18"/>
    <x v="12"/>
  </r>
  <r>
    <n v="1"/>
    <x v="39"/>
  </r>
  <r>
    <n v="19"/>
    <x v="306"/>
  </r>
  <r>
    <n v="16"/>
    <x v="142"/>
  </r>
  <r>
    <n v="63"/>
    <x v="70"/>
  </r>
  <r>
    <n v="59"/>
    <x v="49"/>
  </r>
  <r>
    <n v="16"/>
    <x v="107"/>
  </r>
  <r>
    <n v="55"/>
    <x v="301"/>
  </r>
  <r>
    <n v="38"/>
    <x v="63"/>
  </r>
  <r>
    <n v="77"/>
    <x v="0"/>
  </r>
  <r>
    <n v="38"/>
    <x v="304"/>
  </r>
  <r>
    <n v="36"/>
    <x v="289"/>
  </r>
  <r>
    <n v="10"/>
    <x v="321"/>
  </r>
  <r>
    <n v="90"/>
    <x v="264"/>
  </r>
  <r>
    <n v="85"/>
    <x v="261"/>
  </r>
  <r>
    <n v="0"/>
    <x v="15"/>
  </r>
  <r>
    <n v="44"/>
    <x v="255"/>
  </r>
  <r>
    <n v="81"/>
    <x v="212"/>
  </r>
  <r>
    <n v="83"/>
    <x v="226"/>
  </r>
  <r>
    <n v="55"/>
    <x v="18"/>
  </r>
  <r>
    <n v="55"/>
    <x v="189"/>
  </r>
  <r>
    <n v="93"/>
    <x v="322"/>
  </r>
  <r>
    <n v="50"/>
    <x v="73"/>
  </r>
  <r>
    <n v="43"/>
    <x v="153"/>
  </r>
  <r>
    <n v="33"/>
    <x v="70"/>
  </r>
  <r>
    <n v="7"/>
    <x v="308"/>
  </r>
  <r>
    <n v="70"/>
    <x v="227"/>
  </r>
  <r>
    <n v="85"/>
    <x v="158"/>
  </r>
  <r>
    <n v="6"/>
    <x v="60"/>
  </r>
  <r>
    <n v="72"/>
    <x v="157"/>
  </r>
  <r>
    <n v="41"/>
    <x v="102"/>
  </r>
  <r>
    <n v="97"/>
    <x v="291"/>
  </r>
  <r>
    <n v="69"/>
    <x v="163"/>
  </r>
  <r>
    <n v="70"/>
    <x v="50"/>
  </r>
  <r>
    <n v="100"/>
    <x v="277"/>
  </r>
  <r>
    <n v="19"/>
    <x v="215"/>
  </r>
  <r>
    <n v="84"/>
    <x v="24"/>
  </r>
  <r>
    <n v="66"/>
    <x v="74"/>
  </r>
  <r>
    <n v="76"/>
    <x v="323"/>
  </r>
  <r>
    <n v="45"/>
    <x v="193"/>
  </r>
  <r>
    <n v="53"/>
    <x v="324"/>
  </r>
  <r>
    <n v="90"/>
    <x v="75"/>
  </r>
  <r>
    <n v="75"/>
    <x v="325"/>
  </r>
  <r>
    <n v="90"/>
    <x v="139"/>
  </r>
  <r>
    <n v="57"/>
    <x v="297"/>
  </r>
  <r>
    <n v="26"/>
    <x v="59"/>
  </r>
  <r>
    <n v="89"/>
    <x v="146"/>
  </r>
  <r>
    <n v="5"/>
    <x v="153"/>
  </r>
  <r>
    <n v="45"/>
    <x v="326"/>
  </r>
  <r>
    <n v="95"/>
    <x v="144"/>
  </r>
  <r>
    <n v="64"/>
    <x v="151"/>
  </r>
  <r>
    <n v="74"/>
    <x v="327"/>
  </r>
  <r>
    <n v="48"/>
    <x v="328"/>
  </r>
  <r>
    <n v="88"/>
    <x v="215"/>
  </r>
  <r>
    <n v="61"/>
    <x v="69"/>
  </r>
  <r>
    <n v="66"/>
    <x v="26"/>
  </r>
  <r>
    <n v="68"/>
    <x v="54"/>
  </r>
  <r>
    <n v="88"/>
    <x v="101"/>
  </r>
  <r>
    <n v="15"/>
    <x v="254"/>
  </r>
  <r>
    <n v="46"/>
    <x v="11"/>
  </r>
  <r>
    <n v="1"/>
    <x v="279"/>
  </r>
  <r>
    <n v="95"/>
    <x v="98"/>
  </r>
  <r>
    <n v="82"/>
    <x v="324"/>
  </r>
  <r>
    <n v="8"/>
    <x v="269"/>
  </r>
  <r>
    <n v="98"/>
    <x v="170"/>
  </r>
  <r>
    <n v="57"/>
    <x v="289"/>
  </r>
  <r>
    <n v="38"/>
    <x v="151"/>
  </r>
  <r>
    <n v="49"/>
    <x v="300"/>
  </r>
  <r>
    <n v="0"/>
    <x v="101"/>
  </r>
  <r>
    <n v="65"/>
    <x v="240"/>
  </r>
  <r>
    <n v="52"/>
    <x v="38"/>
  </r>
  <r>
    <n v="44"/>
    <x v="226"/>
  </r>
  <r>
    <n v="55"/>
    <x v="215"/>
  </r>
  <r>
    <n v="64"/>
    <x v="187"/>
  </r>
  <r>
    <n v="99"/>
    <x v="156"/>
  </r>
  <r>
    <n v="91"/>
    <x v="205"/>
  </r>
  <r>
    <n v="96"/>
    <x v="268"/>
  </r>
  <r>
    <n v="59"/>
    <x v="227"/>
  </r>
  <r>
    <n v="46"/>
    <x v="276"/>
  </r>
  <r>
    <n v="24"/>
    <x v="329"/>
  </r>
  <r>
    <n v="42"/>
    <x v="49"/>
  </r>
  <r>
    <n v="1"/>
    <x v="202"/>
  </r>
  <r>
    <n v="46"/>
    <x v="60"/>
  </r>
  <r>
    <n v="87"/>
    <x v="171"/>
  </r>
  <r>
    <n v="16"/>
    <x v="66"/>
  </r>
  <r>
    <n v="8"/>
    <x v="161"/>
  </r>
  <r>
    <n v="64"/>
    <x v="274"/>
  </r>
  <r>
    <n v="63"/>
    <x v="162"/>
  </r>
  <r>
    <n v="19"/>
    <x v="325"/>
  </r>
  <r>
    <n v="100"/>
    <x v="47"/>
  </r>
  <r>
    <n v="32"/>
    <x v="215"/>
  </r>
  <r>
    <n v="3"/>
    <x v="181"/>
  </r>
  <r>
    <n v="78"/>
    <x v="280"/>
  </r>
  <r>
    <n v="64"/>
    <x v="324"/>
  </r>
  <r>
    <n v="74"/>
    <x v="210"/>
  </r>
  <r>
    <n v="45"/>
    <x v="198"/>
  </r>
  <r>
    <n v="25"/>
    <x v="16"/>
  </r>
  <r>
    <n v="69"/>
    <x v="236"/>
  </r>
  <r>
    <n v="68"/>
    <x v="70"/>
  </r>
  <r>
    <n v="31"/>
    <x v="133"/>
  </r>
  <r>
    <n v="56"/>
    <x v="330"/>
  </r>
  <r>
    <n v="69"/>
    <x v="12"/>
  </r>
  <r>
    <n v="11"/>
    <x v="207"/>
  </r>
  <r>
    <n v="2"/>
    <x v="46"/>
  </r>
  <r>
    <n v="55"/>
    <x v="156"/>
  </r>
  <r>
    <n v="77"/>
    <x v="106"/>
  </r>
  <r>
    <n v="19"/>
    <x v="194"/>
  </r>
  <r>
    <n v="33"/>
    <x v="50"/>
  </r>
  <r>
    <n v="77"/>
    <x v="105"/>
  </r>
  <r>
    <n v="62"/>
    <x v="198"/>
  </r>
  <r>
    <n v="50"/>
    <x v="289"/>
  </r>
  <r>
    <n v="47"/>
    <x v="179"/>
  </r>
  <r>
    <n v="82"/>
    <x v="131"/>
  </r>
  <r>
    <n v="8"/>
    <x v="183"/>
  </r>
  <r>
    <n v="63"/>
    <x v="25"/>
  </r>
  <r>
    <n v="16"/>
    <x v="331"/>
  </r>
  <r>
    <n v="5"/>
    <x v="259"/>
  </r>
  <r>
    <n v="99"/>
    <x v="47"/>
  </r>
  <r>
    <n v="9"/>
    <x v="146"/>
  </r>
  <r>
    <n v="31"/>
    <x v="13"/>
  </r>
  <r>
    <n v="14"/>
    <x v="116"/>
  </r>
  <r>
    <n v="89"/>
    <x v="236"/>
  </r>
  <r>
    <n v="75"/>
    <x v="224"/>
  </r>
  <r>
    <n v="47"/>
    <x v="320"/>
  </r>
  <r>
    <n v="30"/>
    <x v="98"/>
  </r>
  <r>
    <n v="84"/>
    <x v="63"/>
  </r>
  <r>
    <n v="36"/>
    <x v="25"/>
  </r>
  <r>
    <n v="1"/>
    <x v="155"/>
  </r>
  <r>
    <n v="34"/>
    <x v="200"/>
  </r>
  <r>
    <n v="54"/>
    <x v="310"/>
  </r>
  <r>
    <n v="56"/>
    <x v="13"/>
  </r>
  <r>
    <n v="54"/>
    <x v="151"/>
  </r>
  <r>
    <n v="13"/>
    <x v="259"/>
  </r>
  <r>
    <n v="12"/>
    <x v="99"/>
  </r>
  <r>
    <n v="4"/>
    <x v="275"/>
  </r>
  <r>
    <n v="56"/>
    <x v="24"/>
  </r>
  <r>
    <n v="86"/>
    <x v="0"/>
  </r>
  <r>
    <n v="5"/>
    <x v="318"/>
  </r>
  <r>
    <n v="35"/>
    <x v="275"/>
  </r>
  <r>
    <n v="73"/>
    <x v="124"/>
  </r>
  <r>
    <n v="42"/>
    <x v="265"/>
  </r>
  <r>
    <n v="27"/>
    <x v="97"/>
  </r>
  <r>
    <n v="84"/>
    <x v="43"/>
  </r>
  <r>
    <n v="76"/>
    <x v="304"/>
  </r>
  <r>
    <n v="93"/>
    <x v="186"/>
  </r>
  <r>
    <n v="62"/>
    <x v="14"/>
  </r>
  <r>
    <n v="80"/>
    <x v="161"/>
  </r>
  <r>
    <n v="29"/>
    <x v="139"/>
  </r>
  <r>
    <n v="96"/>
    <x v="36"/>
  </r>
  <r>
    <n v="20"/>
    <x v="132"/>
  </r>
  <r>
    <n v="77"/>
    <x v="19"/>
  </r>
  <r>
    <n v="2"/>
    <x v="187"/>
  </r>
  <r>
    <n v="0"/>
    <x v="55"/>
  </r>
  <r>
    <n v="67"/>
    <x v="142"/>
  </r>
  <r>
    <n v="62"/>
    <x v="143"/>
  </r>
  <r>
    <n v="14"/>
    <x v="48"/>
  </r>
  <r>
    <n v="95"/>
    <x v="106"/>
  </r>
  <r>
    <n v="84"/>
    <x v="332"/>
  </r>
  <r>
    <n v="91"/>
    <x v="332"/>
  </r>
  <r>
    <n v="31"/>
    <x v="109"/>
  </r>
  <r>
    <n v="79"/>
    <x v="137"/>
  </r>
  <r>
    <n v="54"/>
    <x v="10"/>
  </r>
  <r>
    <n v="87"/>
    <x v="91"/>
  </r>
  <r>
    <n v="75"/>
    <x v="23"/>
  </r>
  <r>
    <n v="47"/>
    <x v="333"/>
  </r>
  <r>
    <n v="61"/>
    <x v="7"/>
  </r>
  <r>
    <n v="29"/>
    <x v="320"/>
  </r>
  <r>
    <n v="64"/>
    <x v="63"/>
  </r>
  <r>
    <n v="92"/>
    <x v="173"/>
  </r>
  <r>
    <n v="19"/>
    <x v="294"/>
  </r>
  <r>
    <n v="92"/>
    <x v="262"/>
  </r>
  <r>
    <n v="58"/>
    <x v="201"/>
  </r>
  <r>
    <n v="94"/>
    <x v="226"/>
  </r>
  <r>
    <n v="9"/>
    <x v="310"/>
  </r>
  <r>
    <n v="54"/>
    <x v="138"/>
  </r>
  <r>
    <n v="40"/>
    <x v="204"/>
  </r>
  <r>
    <n v="30"/>
    <x v="238"/>
  </r>
  <r>
    <n v="96"/>
    <x v="160"/>
  </r>
  <r>
    <n v="17"/>
    <x v="245"/>
  </r>
  <r>
    <n v="3"/>
    <x v="59"/>
  </r>
  <r>
    <n v="41"/>
    <x v="277"/>
  </r>
  <r>
    <n v="80"/>
    <x v="280"/>
  </r>
  <r>
    <n v="20"/>
    <x v="23"/>
  </r>
  <r>
    <n v="13"/>
    <x v="31"/>
  </r>
  <r>
    <n v="90"/>
    <x v="44"/>
  </r>
  <r>
    <n v="60"/>
    <x v="277"/>
  </r>
  <r>
    <n v="74"/>
    <x v="66"/>
  </r>
  <r>
    <n v="56"/>
    <x v="334"/>
  </r>
  <r>
    <n v="45"/>
    <x v="19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E2FA46-76CD-46A7-A893-04B10ED7F24B}" name="PivotTable3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T3:V4" firstHeaderRow="0" firstDataRow="1" firstDataCol="0"/>
  <pivotFields count="15">
    <pivotField dataField="1" showAll="0">
      <items count="1001">
        <item x="346"/>
        <item x="247"/>
        <item x="388"/>
        <item x="351"/>
        <item x="919"/>
        <item x="922"/>
        <item x="39"/>
        <item x="735"/>
        <item x="954"/>
        <item x="126"/>
        <item x="96"/>
        <item x="774"/>
        <item x="334"/>
        <item x="852"/>
        <item x="844"/>
        <item x="548"/>
        <item x="921"/>
        <item x="598"/>
        <item x="962"/>
        <item x="240"/>
        <item x="12"/>
        <item x="743"/>
        <item x="172"/>
        <item x="9"/>
        <item x="751"/>
        <item x="182"/>
        <item x="411"/>
        <item x="460"/>
        <item x="801"/>
        <item x="685"/>
        <item x="224"/>
        <item x="667"/>
        <item x="547"/>
        <item x="361"/>
        <item x="250"/>
        <item x="430"/>
        <item x="903"/>
        <item x="232"/>
        <item x="717"/>
        <item x="252"/>
        <item x="761"/>
        <item x="368"/>
        <item x="148"/>
        <item x="871"/>
        <item x="812"/>
        <item x="32"/>
        <item x="494"/>
        <item x="993"/>
        <item x="282"/>
        <item x="995"/>
        <item x="86"/>
        <item x="46"/>
        <item x="87"/>
        <item x="159"/>
        <item x="977"/>
        <item x="750"/>
        <item x="406"/>
        <item x="426"/>
        <item x="51"/>
        <item x="407"/>
        <item x="865"/>
        <item x="291"/>
        <item x="236"/>
        <item x="842"/>
        <item x="690"/>
        <item x="941"/>
        <item x="535"/>
        <item x="804"/>
        <item x="702"/>
        <item x="813"/>
        <item x="684"/>
        <item x="241"/>
        <item x="55"/>
        <item x="964"/>
        <item x="937"/>
        <item x="766"/>
        <item x="621"/>
        <item x="688"/>
        <item x="787"/>
        <item x="110"/>
        <item x="168"/>
        <item x="586"/>
        <item x="664"/>
        <item x="543"/>
        <item x="945"/>
        <item x="662"/>
        <item x="443"/>
        <item x="686"/>
        <item x="640"/>
        <item x="848"/>
        <item x="775"/>
        <item x="71"/>
        <item x="283"/>
        <item x="869"/>
        <item x="531"/>
        <item x="847"/>
        <item x="154"/>
        <item x="303"/>
        <item x="517"/>
        <item x="940"/>
        <item x="906"/>
        <item x="984"/>
        <item x="409"/>
        <item x="106"/>
        <item x="105"/>
        <item x="779"/>
        <item x="843"/>
        <item x="592"/>
        <item x="544"/>
        <item x="920"/>
        <item x="419"/>
        <item x="315"/>
        <item x="923"/>
        <item x="803"/>
        <item x="179"/>
        <item x="927"/>
        <item x="723"/>
        <item x="676"/>
        <item x="845"/>
        <item x="564"/>
        <item x="615"/>
        <item x="603"/>
        <item x="173"/>
        <item x="424"/>
        <item x="147"/>
        <item x="996"/>
        <item x="509"/>
        <item x="3"/>
        <item x="577"/>
        <item x="446"/>
        <item x="483"/>
        <item x="710"/>
        <item x="370"/>
        <item x="972"/>
        <item x="697"/>
        <item x="716"/>
        <item x="157"/>
        <item x="495"/>
        <item x="125"/>
        <item x="44"/>
        <item x="745"/>
        <item x="355"/>
        <item x="222"/>
        <item x="180"/>
        <item x="15"/>
        <item x="392"/>
        <item x="668"/>
        <item x="619"/>
        <item x="654"/>
        <item x="722"/>
        <item x="521"/>
        <item x="832"/>
        <item x="109"/>
        <item x="475"/>
        <item x="322"/>
        <item x="113"/>
        <item x="449"/>
        <item x="756"/>
        <item x="551"/>
        <item x="383"/>
        <item x="213"/>
        <item x="762"/>
        <item x="161"/>
        <item x="772"/>
        <item x="181"/>
        <item x="425"/>
        <item x="342"/>
        <item x="932"/>
        <item x="353"/>
        <item x="512"/>
        <item x="515"/>
        <item x="442"/>
        <item x="815"/>
        <item x="496"/>
        <item x="991"/>
        <item x="319"/>
        <item x="947"/>
        <item x="536"/>
        <item x="925"/>
        <item x="819"/>
        <item x="663"/>
        <item x="967"/>
        <item x="873"/>
        <item x="912"/>
        <item x="612"/>
        <item x="267"/>
        <item x="382"/>
        <item x="538"/>
        <item x="969"/>
        <item x="175"/>
        <item x="518"/>
        <item x="428"/>
        <item x="618"/>
        <item x="899"/>
        <item x="135"/>
        <item x="59"/>
        <item x="752"/>
        <item x="203"/>
        <item x="357"/>
        <item x="265"/>
        <item x="249"/>
        <item x="484"/>
        <item x="152"/>
        <item x="998"/>
        <item x="675"/>
        <item x="129"/>
        <item x="95"/>
        <item x="67"/>
        <item x="299"/>
        <item x="234"/>
        <item x="333"/>
        <item x="246"/>
        <item x="21"/>
        <item x="742"/>
        <item x="399"/>
        <item x="629"/>
        <item x="510"/>
        <item x="260"/>
        <item x="132"/>
        <item x="841"/>
        <item x="974"/>
        <item x="711"/>
        <item x="888"/>
        <item x="557"/>
        <item x="758"/>
        <item x="400"/>
        <item x="238"/>
        <item x="858"/>
        <item x="584"/>
        <item x="268"/>
        <item x="647"/>
        <item x="798"/>
        <item x="727"/>
        <item x="830"/>
        <item x="127"/>
        <item x="207"/>
        <item x="734"/>
        <item x="506"/>
        <item x="593"/>
        <item x="101"/>
        <item x="218"/>
        <item x="987"/>
        <item x="297"/>
        <item x="856"/>
        <item x="696"/>
        <item x="657"/>
        <item x="415"/>
        <item x="5"/>
        <item x="918"/>
        <item x="951"/>
        <item x="40"/>
        <item x="301"/>
        <item x="579"/>
        <item x="97"/>
        <item x="206"/>
        <item x="807"/>
        <item x="747"/>
        <item x="162"/>
        <item x="648"/>
        <item x="378"/>
        <item x="200"/>
        <item x="698"/>
        <item x="401"/>
        <item x="142"/>
        <item x="290"/>
        <item x="875"/>
        <item x="665"/>
        <item x="4"/>
        <item x="441"/>
        <item x="140"/>
        <item x="38"/>
        <item x="942"/>
        <item x="704"/>
        <item x="298"/>
        <item x="572"/>
        <item x="532"/>
        <item x="450"/>
        <item x="836"/>
        <item x="416"/>
        <item x="892"/>
        <item x="242"/>
        <item x="467"/>
        <item x="820"/>
        <item x="360"/>
        <item x="493"/>
        <item x="216"/>
        <item x="389"/>
        <item x="136"/>
        <item x="897"/>
        <item x="464"/>
        <item x="935"/>
        <item x="124"/>
        <item x="501"/>
        <item x="458"/>
        <item x="272"/>
        <item x="262"/>
        <item x="371"/>
        <item x="261"/>
        <item x="552"/>
        <item x="85"/>
        <item x="26"/>
        <item x="123"/>
        <item x="639"/>
        <item x="226"/>
        <item x="437"/>
        <item x="781"/>
        <item x="838"/>
        <item x="528"/>
        <item x="456"/>
        <item x="266"/>
        <item x="975"/>
        <item x="746"/>
        <item x="65"/>
        <item x="714"/>
        <item x="248"/>
        <item x="874"/>
        <item x="455"/>
        <item x="616"/>
        <item x="83"/>
        <item x="763"/>
        <item x="610"/>
        <item x="191"/>
        <item x="119"/>
        <item x="498"/>
        <item x="364"/>
        <item x="726"/>
        <item x="50"/>
        <item x="356"/>
        <item x="274"/>
        <item x="948"/>
        <item x="452"/>
        <item x="359"/>
        <item x="715"/>
        <item x="504"/>
        <item x="895"/>
        <item x="7"/>
        <item x="231"/>
        <item x="396"/>
        <item x="816"/>
        <item x="581"/>
        <item x="523"/>
        <item x="28"/>
        <item x="946"/>
        <item x="480"/>
        <item x="638"/>
        <item x="729"/>
        <item x="34"/>
        <item x="329"/>
        <item x="773"/>
        <item x="981"/>
        <item x="327"/>
        <item x="80"/>
        <item x="809"/>
        <item x="728"/>
        <item x="963"/>
        <item x="754"/>
        <item x="47"/>
        <item x="863"/>
        <item x="279"/>
        <item x="117"/>
        <item x="806"/>
        <item x="630"/>
        <item x="700"/>
        <item x="837"/>
        <item x="627"/>
        <item x="855"/>
        <item x="45"/>
        <item x="784"/>
        <item x="228"/>
        <item x="849"/>
        <item x="52"/>
        <item x="237"/>
        <item x="829"/>
        <item x="402"/>
        <item x="652"/>
        <item x="782"/>
        <item x="63"/>
        <item x="799"/>
        <item x="367"/>
        <item x="952"/>
        <item x="720"/>
        <item x="520"/>
        <item x="27"/>
        <item x="193"/>
        <item x="30"/>
        <item x="380"/>
        <item x="90"/>
        <item x="764"/>
        <item x="235"/>
        <item x="386"/>
        <item x="165"/>
        <item x="933"/>
        <item x="916"/>
        <item x="608"/>
        <item x="857"/>
        <item x="571"/>
        <item x="277"/>
        <item x="878"/>
        <item x="792"/>
        <item x="671"/>
        <item x="314"/>
        <item x="478"/>
        <item x="296"/>
        <item x="459"/>
        <item x="966"/>
        <item x="479"/>
        <item x="800"/>
        <item x="574"/>
        <item x="889"/>
        <item x="192"/>
        <item x="377"/>
        <item x="818"/>
        <item x="765"/>
        <item x="320"/>
        <item x="983"/>
        <item x="508"/>
        <item x="890"/>
        <item x="264"/>
        <item x="61"/>
        <item x="811"/>
        <item x="198"/>
        <item x="169"/>
        <item x="64"/>
        <item x="609"/>
        <item x="133"/>
        <item x="896"/>
        <item x="699"/>
        <item x="770"/>
        <item x="251"/>
        <item x="269"/>
        <item x="915"/>
        <item x="868"/>
        <item x="338"/>
        <item x="194"/>
        <item x="674"/>
        <item x="601"/>
        <item x="613"/>
        <item x="295"/>
        <item x="214"/>
        <item x="549"/>
        <item x="186"/>
        <item x="738"/>
        <item x="783"/>
        <item x="447"/>
        <item x="362"/>
        <item x="907"/>
        <item x="482"/>
        <item x="153"/>
        <item x="567"/>
        <item x="957"/>
        <item x="718"/>
        <item x="57"/>
        <item x="908"/>
        <item x="187"/>
        <item x="507"/>
        <item x="49"/>
        <item x="490"/>
        <item x="470"/>
        <item x="583"/>
        <item x="408"/>
        <item x="88"/>
        <item x="263"/>
        <item x="405"/>
        <item x="814"/>
        <item x="390"/>
        <item x="530"/>
        <item x="160"/>
        <item x="689"/>
        <item x="328"/>
        <item x="454"/>
        <item x="372"/>
        <item x="677"/>
        <item x="146"/>
        <item x="230"/>
        <item x="817"/>
        <item x="432"/>
        <item x="692"/>
        <item x="542"/>
        <item x="349"/>
        <item x="861"/>
        <item x="245"/>
        <item x="112"/>
        <item x="366"/>
        <item x="473"/>
        <item x="204"/>
        <item x="691"/>
        <item x="244"/>
        <item x="591"/>
        <item x="311"/>
        <item x="540"/>
        <item x="985"/>
        <item x="867"/>
        <item x="139"/>
        <item x="48"/>
        <item x="448"/>
        <item x="468"/>
        <item x="546"/>
        <item x="560"/>
        <item x="655"/>
        <item x="339"/>
        <item x="111"/>
        <item x="753"/>
        <item x="971"/>
        <item x="151"/>
        <item x="666"/>
        <item x="89"/>
        <item x="308"/>
        <item x="749"/>
        <item x="968"/>
        <item x="740"/>
        <item x="759"/>
        <item x="331"/>
        <item x="309"/>
        <item x="474"/>
        <item x="656"/>
        <item x="307"/>
        <item x="155"/>
        <item x="300"/>
        <item x="445"/>
        <item x="527"/>
        <item x="877"/>
        <item x="403"/>
        <item x="137"/>
        <item x="736"/>
        <item x="219"/>
        <item x="989"/>
        <item x="594"/>
        <item x="562"/>
        <item x="999"/>
        <item x="585"/>
        <item x="930"/>
        <item x="851"/>
        <item x="719"/>
        <item x="599"/>
        <item x="273"/>
        <item x="256"/>
        <item x="225"/>
        <item x="118"/>
        <item x="973"/>
        <item x="563"/>
        <item x="379"/>
        <item x="312"/>
        <item x="670"/>
        <item x="233"/>
        <item x="936"/>
        <item x="103"/>
        <item x="893"/>
        <item x="131"/>
        <item x="215"/>
        <item x="646"/>
        <item x="324"/>
        <item x="853"/>
        <item x="862"/>
        <item x="463"/>
        <item x="6"/>
        <item x="537"/>
        <item x="197"/>
        <item x="354"/>
        <item x="825"/>
        <item x="588"/>
        <item x="644"/>
        <item x="1"/>
        <item x="150"/>
        <item x="104"/>
        <item x="239"/>
        <item x="60"/>
        <item x="318"/>
        <item x="883"/>
        <item x="645"/>
        <item x="36"/>
        <item x="673"/>
        <item x="604"/>
        <item x="882"/>
        <item x="433"/>
        <item x="486"/>
        <item x="305"/>
        <item x="631"/>
        <item x="114"/>
        <item x="522"/>
        <item x="910"/>
        <item x="398"/>
        <item x="956"/>
        <item x="469"/>
        <item x="885"/>
        <item x="76"/>
        <item x="451"/>
        <item x="369"/>
        <item x="17"/>
        <item x="102"/>
        <item x="188"/>
        <item x="276"/>
        <item x="184"/>
        <item x="436"/>
        <item x="471"/>
        <item x="37"/>
        <item x="705"/>
        <item x="730"/>
        <item x="541"/>
        <item x="11"/>
        <item x="617"/>
        <item x="487"/>
        <item x="876"/>
        <item x="575"/>
        <item x="393"/>
        <item x="253"/>
        <item x="208"/>
        <item x="620"/>
        <item x="431"/>
        <item x="332"/>
        <item x="13"/>
        <item x="99"/>
        <item x="934"/>
        <item x="744"/>
        <item x="58"/>
        <item x="602"/>
        <item x="880"/>
        <item x="116"/>
        <item x="434"/>
        <item x="336"/>
        <item x="526"/>
        <item x="381"/>
        <item x="16"/>
        <item x="417"/>
        <item x="385"/>
        <item x="8"/>
        <item x="358"/>
        <item x="959"/>
        <item x="134"/>
        <item x="323"/>
        <item x="960"/>
        <item x="938"/>
        <item x="440"/>
        <item x="294"/>
        <item x="170"/>
        <item x="589"/>
        <item x="24"/>
        <item x="634"/>
        <item x="600"/>
        <item x="289"/>
        <item x="391"/>
        <item x="35"/>
        <item x="582"/>
        <item x="802"/>
        <item x="760"/>
        <item x="53"/>
        <item x="879"/>
        <item x="979"/>
        <item x="901"/>
        <item x="793"/>
        <item x="143"/>
        <item x="992"/>
        <item x="576"/>
        <item x="641"/>
        <item x="767"/>
        <item x="98"/>
        <item x="326"/>
        <item x="120"/>
        <item x="794"/>
        <item x="694"/>
        <item x="115"/>
        <item x="513"/>
        <item x="209"/>
        <item x="533"/>
        <item x="553"/>
        <item x="846"/>
        <item x="141"/>
        <item x="292"/>
        <item x="724"/>
        <item x="558"/>
        <item x="524"/>
        <item x="287"/>
        <item x="485"/>
        <item x="732"/>
        <item x="997"/>
        <item x="500"/>
        <item x="961"/>
        <item x="839"/>
        <item x="590"/>
        <item x="69"/>
        <item x="286"/>
        <item x="944"/>
        <item x="92"/>
        <item x="190"/>
        <item x="211"/>
        <item x="859"/>
        <item x="955"/>
        <item x="587"/>
        <item x="840"/>
        <item x="708"/>
        <item x="293"/>
        <item x="387"/>
        <item x="703"/>
        <item x="33"/>
        <item x="931"/>
        <item x="14"/>
        <item x="325"/>
        <item x="990"/>
        <item x="280"/>
        <item x="177"/>
        <item x="397"/>
        <item x="149"/>
        <item x="284"/>
        <item x="258"/>
        <item x="986"/>
        <item x="713"/>
        <item x="822"/>
        <item x="70"/>
        <item x="375"/>
        <item x="210"/>
        <item x="410"/>
        <item x="221"/>
        <item x="503"/>
        <item x="174"/>
        <item x="350"/>
        <item x="421"/>
        <item x="499"/>
        <item x="566"/>
        <item x="41"/>
        <item x="271"/>
        <item x="427"/>
        <item x="545"/>
        <item x="31"/>
        <item x="680"/>
        <item x="316"/>
        <item x="554"/>
        <item x="395"/>
        <item x="789"/>
        <item x="565"/>
        <item x="597"/>
        <item x="636"/>
        <item x="343"/>
        <item x="348"/>
        <item x="313"/>
        <item x="578"/>
        <item x="785"/>
        <item x="158"/>
        <item x="171"/>
        <item x="596"/>
        <item x="757"/>
        <item x="412"/>
        <item x="128"/>
        <item x="682"/>
        <item x="976"/>
        <item x="491"/>
        <item x="19"/>
        <item x="201"/>
        <item x="926"/>
        <item x="285"/>
        <item x="833"/>
        <item x="72"/>
        <item x="891"/>
        <item x="900"/>
        <item x="352"/>
        <item x="731"/>
        <item x="43"/>
        <item x="281"/>
        <item x="805"/>
        <item x="556"/>
        <item x="824"/>
        <item x="461"/>
        <item x="376"/>
        <item x="679"/>
        <item x="254"/>
        <item x="978"/>
        <item x="569"/>
        <item x="444"/>
        <item x="651"/>
        <item x="994"/>
        <item x="672"/>
        <item x="176"/>
        <item x="606"/>
        <item x="909"/>
        <item x="529"/>
        <item x="229"/>
        <item x="650"/>
        <item x="653"/>
        <item x="278"/>
        <item x="886"/>
        <item x="199"/>
        <item x="466"/>
        <item x="121"/>
        <item x="164"/>
        <item x="82"/>
        <item x="721"/>
        <item x="810"/>
        <item x="340"/>
        <item x="884"/>
        <item x="22"/>
        <item x="344"/>
        <item x="18"/>
        <item x="505"/>
        <item x="633"/>
        <item x="217"/>
        <item x="511"/>
        <item x="2"/>
        <item x="20"/>
        <item x="78"/>
        <item x="84"/>
        <item x="559"/>
        <item x="481"/>
        <item x="100"/>
        <item x="905"/>
        <item x="860"/>
        <item x="623"/>
        <item x="768"/>
        <item x="489"/>
        <item x="658"/>
        <item x="748"/>
        <item x="769"/>
        <item x="790"/>
        <item x="302"/>
        <item x="220"/>
        <item x="310"/>
        <item x="568"/>
        <item x="472"/>
        <item x="795"/>
        <item x="827"/>
        <item x="741"/>
        <item x="144"/>
        <item x="635"/>
        <item x="107"/>
        <item x="212"/>
        <item x="73"/>
        <item x="438"/>
        <item x="394"/>
        <item x="330"/>
        <item x="108"/>
        <item x="516"/>
        <item x="913"/>
        <item x="304"/>
        <item x="902"/>
        <item x="611"/>
        <item x="678"/>
        <item x="534"/>
        <item x="29"/>
        <item x="669"/>
        <item x="363"/>
        <item x="418"/>
        <item x="163"/>
        <item x="465"/>
        <item x="958"/>
        <item x="23"/>
        <item x="605"/>
        <item x="145"/>
        <item x="384"/>
        <item x="457"/>
        <item x="595"/>
        <item x="707"/>
        <item x="573"/>
        <item x="821"/>
        <item x="429"/>
        <item x="988"/>
        <item x="881"/>
        <item x="288"/>
        <item x="949"/>
        <item x="914"/>
        <item x="796"/>
        <item x="365"/>
        <item x="0"/>
        <item x="872"/>
        <item x="625"/>
        <item x="550"/>
        <item x="555"/>
        <item x="167"/>
        <item x="42"/>
        <item x="939"/>
        <item x="866"/>
        <item x="826"/>
        <item x="94"/>
        <item x="321"/>
        <item x="205"/>
        <item x="138"/>
        <item x="637"/>
        <item x="156"/>
        <item x="788"/>
        <item x="780"/>
        <item x="755"/>
        <item x="894"/>
        <item x="659"/>
        <item x="413"/>
        <item x="771"/>
        <item x="834"/>
        <item x="864"/>
        <item x="317"/>
        <item x="476"/>
        <item x="189"/>
        <item x="965"/>
        <item x="345"/>
        <item x="492"/>
        <item x="270"/>
        <item x="725"/>
        <item x="166"/>
        <item x="904"/>
        <item x="982"/>
        <item x="66"/>
        <item x="980"/>
        <item x="519"/>
        <item x="25"/>
        <item x="79"/>
        <item x="56"/>
        <item x="10"/>
        <item x="928"/>
        <item x="514"/>
        <item x="614"/>
        <item x="404"/>
        <item x="632"/>
        <item x="335"/>
        <item x="911"/>
        <item x="373"/>
        <item x="709"/>
        <item x="243"/>
        <item x="786"/>
        <item x="823"/>
        <item x="77"/>
        <item x="643"/>
        <item x="712"/>
        <item x="453"/>
        <item x="737"/>
        <item x="497"/>
        <item x="953"/>
        <item x="255"/>
        <item x="642"/>
        <item x="502"/>
        <item x="661"/>
        <item x="178"/>
        <item x="850"/>
        <item x="423"/>
        <item x="68"/>
        <item x="580"/>
        <item x="854"/>
        <item x="374"/>
        <item x="950"/>
        <item x="898"/>
        <item x="477"/>
        <item x="122"/>
        <item x="183"/>
        <item x="414"/>
        <item x="196"/>
        <item x="341"/>
        <item x="561"/>
        <item x="917"/>
        <item x="185"/>
        <item x="693"/>
        <item x="422"/>
        <item x="683"/>
        <item x="81"/>
        <item x="924"/>
        <item x="687"/>
        <item x="462"/>
        <item x="259"/>
        <item x="887"/>
        <item x="778"/>
        <item x="943"/>
        <item x="776"/>
        <item x="624"/>
        <item x="733"/>
        <item x="539"/>
        <item x="130"/>
        <item x="435"/>
        <item x="202"/>
        <item x="525"/>
        <item x="488"/>
        <item x="420"/>
        <item x="929"/>
        <item x="570"/>
        <item x="828"/>
        <item x="306"/>
        <item x="628"/>
        <item x="607"/>
        <item x="275"/>
        <item x="75"/>
        <item x="681"/>
        <item x="660"/>
        <item x="739"/>
        <item x="195"/>
        <item x="91"/>
        <item x="649"/>
        <item x="797"/>
        <item x="227"/>
        <item x="257"/>
        <item x="706"/>
        <item x="870"/>
        <item x="439"/>
        <item x="831"/>
        <item x="626"/>
        <item x="93"/>
        <item x="74"/>
        <item x="791"/>
        <item x="54"/>
        <item x="701"/>
        <item x="777"/>
        <item x="970"/>
        <item x="835"/>
        <item x="223"/>
        <item x="808"/>
        <item x="337"/>
        <item x="622"/>
        <item x="62"/>
        <item x="695"/>
        <item x="347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dataField="1" showAll="0"/>
    <pivotField showAll="0"/>
    <pivotField numFmtId="164" showAll="0"/>
    <pivotField showAll="0">
      <items count="4">
        <item x="1"/>
        <item x="0"/>
        <item x="2"/>
        <item t="default"/>
      </items>
    </pivotField>
    <pivotField showAll="0"/>
    <pivotField showAl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Total Customers" fld="0" subtotal="count" baseField="0" baseItem="0"/>
    <dataField name="Average Age" fld="5" subtotal="average" baseField="0" baseItem="1"/>
    <dataField name="Total Annual Income" fld="9" baseField="0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05EFA5-75A1-4E21-9D19-091B7D0E6FF4}" name="PivotTable8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B48:C69" firstHeaderRow="1" firstDataRow="1" firstDataCol="1"/>
  <pivotFields count="5">
    <pivotField dataField="1" showAll="0"/>
    <pivotField axis="axisRow" numFmtId="14" showAll="0">
      <items count="336">
        <item x="208"/>
        <item x="77"/>
        <item x="333"/>
        <item x="246"/>
        <item x="257"/>
        <item x="237"/>
        <item x="180"/>
        <item x="38"/>
        <item x="192"/>
        <item x="98"/>
        <item x="185"/>
        <item x="56"/>
        <item x="240"/>
        <item x="143"/>
        <item x="65"/>
        <item x="22"/>
        <item x="119"/>
        <item x="175"/>
        <item x="157"/>
        <item x="159"/>
        <item x="72"/>
        <item x="254"/>
        <item x="85"/>
        <item x="93"/>
        <item x="269"/>
        <item x="144"/>
        <item x="48"/>
        <item x="117"/>
        <item x="239"/>
        <item x="53"/>
        <item x="264"/>
        <item x="260"/>
        <item x="116"/>
        <item x="41"/>
        <item x="114"/>
        <item x="219"/>
        <item x="63"/>
        <item x="111"/>
        <item x="87"/>
        <item x="8"/>
        <item x="274"/>
        <item x="194"/>
        <item x="37"/>
        <item x="291"/>
        <item x="141"/>
        <item x="184"/>
        <item x="43"/>
        <item x="248"/>
        <item x="256"/>
        <item x="54"/>
        <item x="206"/>
        <item x="253"/>
        <item x="120"/>
        <item x="122"/>
        <item x="60"/>
        <item x="196"/>
        <item x="105"/>
        <item x="176"/>
        <item x="301"/>
        <item x="156"/>
        <item x="5"/>
        <item x="201"/>
        <item x="86"/>
        <item x="198"/>
        <item x="166"/>
        <item x="165"/>
        <item x="106"/>
        <item x="215"/>
        <item x="42"/>
        <item x="173"/>
        <item x="49"/>
        <item x="153"/>
        <item x="20"/>
        <item x="227"/>
        <item x="316"/>
        <item x="282"/>
        <item x="110"/>
        <item x="115"/>
        <item x="177"/>
        <item x="211"/>
        <item x="3"/>
        <item x="303"/>
        <item x="127"/>
        <item x="304"/>
        <item x="12"/>
        <item x="241"/>
        <item x="169"/>
        <item x="298"/>
        <item x="250"/>
        <item x="315"/>
        <item x="161"/>
        <item x="293"/>
        <item x="278"/>
        <item x="118"/>
        <item x="67"/>
        <item x="4"/>
        <item x="168"/>
        <item x="234"/>
        <item x="251"/>
        <item x="210"/>
        <item x="73"/>
        <item x="200"/>
        <item x="15"/>
        <item x="286"/>
        <item x="259"/>
        <item x="68"/>
        <item x="148"/>
        <item x="220"/>
        <item x="103"/>
        <item x="270"/>
        <item x="217"/>
        <item x="149"/>
        <item x="279"/>
        <item x="140"/>
        <item x="288"/>
        <item x="195"/>
        <item x="216"/>
        <item x="277"/>
        <item x="136"/>
        <item x="296"/>
        <item x="317"/>
        <item x="45"/>
        <item x="193"/>
        <item x="214"/>
        <item x="202"/>
        <item x="1"/>
        <item x="255"/>
        <item x="46"/>
        <item x="275"/>
        <item x="151"/>
        <item x="135"/>
        <item x="84"/>
        <item x="228"/>
        <item x="261"/>
        <item x="40"/>
        <item x="83"/>
        <item x="232"/>
        <item x="152"/>
        <item x="16"/>
        <item x="330"/>
        <item x="0"/>
        <item x="51"/>
        <item x="207"/>
        <item x="66"/>
        <item x="89"/>
        <item x="24"/>
        <item x="75"/>
        <item x="243"/>
        <item x="125"/>
        <item x="327"/>
        <item x="76"/>
        <item x="245"/>
        <item x="197"/>
        <item x="252"/>
        <item x="334"/>
        <item x="331"/>
        <item x="35"/>
        <item x="172"/>
        <item x="167"/>
        <item x="263"/>
        <item x="108"/>
        <item x="311"/>
        <item x="205"/>
        <item x="242"/>
        <item x="294"/>
        <item x="61"/>
        <item x="204"/>
        <item x="280"/>
        <item x="292"/>
        <item x="328"/>
        <item x="6"/>
        <item x="150"/>
        <item x="164"/>
        <item x="104"/>
        <item x="283"/>
        <item x="39"/>
        <item x="183"/>
        <item x="218"/>
        <item x="187"/>
        <item x="101"/>
        <item x="267"/>
        <item x="181"/>
        <item x="163"/>
        <item x="190"/>
        <item x="109"/>
        <item x="224"/>
        <item x="138"/>
        <item x="230"/>
        <item x="244"/>
        <item x="265"/>
        <item x="92"/>
        <item x="247"/>
        <item x="318"/>
        <item x="324"/>
        <item x="213"/>
        <item x="94"/>
        <item x="102"/>
        <item x="99"/>
        <item x="50"/>
        <item x="235"/>
        <item x="31"/>
        <item x="162"/>
        <item x="130"/>
        <item x="266"/>
        <item x="28"/>
        <item x="74"/>
        <item x="320"/>
        <item x="191"/>
        <item x="95"/>
        <item x="295"/>
        <item x="17"/>
        <item x="147"/>
        <item x="81"/>
        <item x="100"/>
        <item x="319"/>
        <item x="313"/>
        <item x="203"/>
        <item x="14"/>
        <item x="7"/>
        <item x="236"/>
        <item x="322"/>
        <item x="285"/>
        <item x="329"/>
        <item x="307"/>
        <item x="209"/>
        <item x="21"/>
        <item x="212"/>
        <item x="13"/>
        <item x="305"/>
        <item x="107"/>
        <item x="221"/>
        <item x="18"/>
        <item x="238"/>
        <item x="132"/>
        <item x="281"/>
        <item x="11"/>
        <item x="78"/>
        <item x="137"/>
        <item x="96"/>
        <item x="26"/>
        <item x="131"/>
        <item x="27"/>
        <item x="332"/>
        <item x="225"/>
        <item x="71"/>
        <item x="312"/>
        <item x="178"/>
        <item x="299"/>
        <item x="284"/>
        <item x="310"/>
        <item x="258"/>
        <item x="323"/>
        <item x="57"/>
        <item x="10"/>
        <item x="9"/>
        <item x="128"/>
        <item x="142"/>
        <item x="188"/>
        <item x="179"/>
        <item x="249"/>
        <item x="289"/>
        <item x="62"/>
        <item x="306"/>
        <item x="302"/>
        <item x="170"/>
        <item x="262"/>
        <item x="70"/>
        <item x="326"/>
        <item x="34"/>
        <item x="229"/>
        <item x="314"/>
        <item x="174"/>
        <item x="97"/>
        <item x="309"/>
        <item x="233"/>
        <item x="126"/>
        <item x="113"/>
        <item x="134"/>
        <item x="58"/>
        <item x="90"/>
        <item x="25"/>
        <item x="199"/>
        <item x="146"/>
        <item x="268"/>
        <item x="321"/>
        <item x="23"/>
        <item x="223"/>
        <item x="33"/>
        <item x="272"/>
        <item x="182"/>
        <item x="276"/>
        <item x="64"/>
        <item x="121"/>
        <item x="82"/>
        <item x="30"/>
        <item x="154"/>
        <item x="29"/>
        <item x="290"/>
        <item x="32"/>
        <item x="271"/>
        <item x="300"/>
        <item x="145"/>
        <item x="133"/>
        <item x="36"/>
        <item x="112"/>
        <item x="55"/>
        <item x="171"/>
        <item x="158"/>
        <item x="287"/>
        <item x="80"/>
        <item x="273"/>
        <item x="79"/>
        <item x="123"/>
        <item x="308"/>
        <item x="124"/>
        <item x="59"/>
        <item x="297"/>
        <item x="325"/>
        <item x="186"/>
        <item x="139"/>
        <item x="91"/>
        <item x="226"/>
        <item x="129"/>
        <item x="155"/>
        <item x="88"/>
        <item x="160"/>
        <item x="19"/>
        <item x="52"/>
        <item x="69"/>
        <item x="47"/>
        <item x="231"/>
        <item x="222"/>
        <item x="189"/>
        <item x="44"/>
        <item x="2"/>
        <item t="default"/>
      </items>
    </pivotField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axis="axisRow" showAll="0" defaultSubtotal="0">
      <items count="6">
        <item x="0"/>
        <item x="1"/>
        <item x="2"/>
        <item x="3"/>
        <item x="4"/>
        <item x="5"/>
      </items>
    </pivotField>
    <pivotField axis="axisRow" showAll="0" defaultSubtotal="0">
      <items count="4">
        <item x="0"/>
        <item x="1"/>
        <item x="2"/>
        <item x="3"/>
      </items>
    </pivotField>
  </pivotFields>
  <rowFields count="4">
    <field x="4"/>
    <field x="3"/>
    <field x="2"/>
    <field x="1"/>
  </rowFields>
  <rowItems count="21">
    <i>
      <x v="1"/>
    </i>
    <i r="1">
      <x v="1"/>
    </i>
    <i r="2">
      <x v="1"/>
    </i>
    <i r="2">
      <x v="2"/>
    </i>
    <i r="2">
      <x v="3"/>
    </i>
    <i r="1">
      <x v="2"/>
    </i>
    <i r="2">
      <x v="4"/>
    </i>
    <i r="2">
      <x v="5"/>
    </i>
    <i r="2">
      <x v="6"/>
    </i>
    <i r="1">
      <x v="3"/>
    </i>
    <i r="2">
      <x v="7"/>
    </i>
    <i r="2">
      <x v="8"/>
    </i>
    <i r="2">
      <x v="9"/>
    </i>
    <i r="1">
      <x v="4"/>
    </i>
    <i r="2">
      <x v="10"/>
    </i>
    <i r="2">
      <x v="11"/>
    </i>
    <i r="2">
      <x v="12"/>
    </i>
    <i>
      <x v="2"/>
    </i>
    <i r="1">
      <x v="1"/>
    </i>
    <i r="2">
      <x v="1"/>
    </i>
    <i t="grand">
      <x/>
    </i>
  </rowItems>
  <colItems count="1">
    <i/>
  </colItems>
  <dataFields count="1">
    <dataField name="Sum of PurchaseHistory" fld="0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01"/>
  <sheetViews>
    <sheetView topLeftCell="H1" zoomScale="70" zoomScaleNormal="70" workbookViewId="0">
      <selection activeCell="S985" sqref="S985"/>
    </sheetView>
  </sheetViews>
  <sheetFormatPr defaultRowHeight="14.4" x14ac:dyDescent="0.3"/>
  <cols>
    <col min="1" max="1" width="10.88671875" bestFit="1" customWidth="1"/>
    <col min="5" max="5" width="13.44140625" bestFit="1" customWidth="1"/>
    <col min="10" max="10" width="13.44140625" bestFit="1" customWidth="1"/>
    <col min="11" max="11" width="21.5546875" bestFit="1" customWidth="1"/>
    <col min="12" max="12" width="20.44140625" style="7" bestFit="1" customWidth="1"/>
    <col min="13" max="13" width="16.77734375" bestFit="1" customWidth="1"/>
    <col min="14" max="14" width="13.77734375" bestFit="1" customWidth="1"/>
    <col min="15" max="15" width="12.33203125" bestFit="1" customWidth="1"/>
    <col min="17" max="17" width="22.5546875" bestFit="1" customWidth="1"/>
    <col min="18" max="18" width="16.109375" bestFit="1" customWidth="1"/>
    <col min="20" max="20" width="14.6640625" bestFit="1" customWidth="1"/>
    <col min="21" max="21" width="11.5546875" bestFit="1" customWidth="1"/>
    <col min="22" max="22" width="18.6640625" bestFit="1" customWidth="1"/>
    <col min="23" max="23" width="21.33203125" bestFit="1" customWidth="1"/>
    <col min="24" max="1019" width="15.5546875" bestFit="1" customWidth="1"/>
    <col min="1020" max="1020" width="10.77734375" bestFit="1" customWidth="1"/>
  </cols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8" t="s">
        <v>11</v>
      </c>
      <c r="M1" s="1" t="s">
        <v>12</v>
      </c>
      <c r="N1" s="1" t="s">
        <v>13</v>
      </c>
      <c r="O1" s="1" t="s">
        <v>14</v>
      </c>
    </row>
    <row r="2" spans="1:23" x14ac:dyDescent="0.3">
      <c r="A2" t="s">
        <v>543</v>
      </c>
      <c r="B2" t="s">
        <v>1543</v>
      </c>
      <c r="C2" t="s">
        <v>2543</v>
      </c>
      <c r="D2" t="s">
        <v>3543</v>
      </c>
      <c r="E2" t="s">
        <v>4543</v>
      </c>
      <c r="F2">
        <v>27</v>
      </c>
      <c r="G2" t="s">
        <v>5016</v>
      </c>
      <c r="H2" t="s">
        <v>5019</v>
      </c>
      <c r="I2" t="s">
        <v>5026</v>
      </c>
      <c r="J2">
        <v>20055</v>
      </c>
      <c r="K2">
        <v>73</v>
      </c>
      <c r="L2" s="9">
        <v>45074</v>
      </c>
      <c r="M2" t="s">
        <v>5030</v>
      </c>
      <c r="N2">
        <v>8</v>
      </c>
      <c r="O2">
        <v>7755</v>
      </c>
      <c r="Q2" t="s">
        <v>5031</v>
      </c>
      <c r="R2">
        <f>SUM(J2:J1001)</f>
        <v>86496639</v>
      </c>
    </row>
    <row r="3" spans="1:23" x14ac:dyDescent="0.3">
      <c r="A3" t="s">
        <v>218</v>
      </c>
      <c r="B3" t="s">
        <v>1218</v>
      </c>
      <c r="C3" t="s">
        <v>2218</v>
      </c>
      <c r="D3" t="s">
        <v>3218</v>
      </c>
      <c r="E3" t="s">
        <v>4218</v>
      </c>
      <c r="F3">
        <v>45</v>
      </c>
      <c r="G3" t="s">
        <v>5017</v>
      </c>
      <c r="H3" t="s">
        <v>5021</v>
      </c>
      <c r="I3" t="s">
        <v>5027</v>
      </c>
      <c r="J3">
        <v>20089</v>
      </c>
      <c r="K3">
        <v>67</v>
      </c>
      <c r="L3" s="7">
        <v>45058</v>
      </c>
      <c r="M3" t="s">
        <v>5028</v>
      </c>
      <c r="N3">
        <v>4</v>
      </c>
      <c r="O3">
        <v>9162</v>
      </c>
      <c r="Q3" t="s">
        <v>5032</v>
      </c>
      <c r="R3">
        <f>AVERAGE(J2:J1001)</f>
        <v>86496.638999999996</v>
      </c>
      <c r="T3" t="s">
        <v>5038</v>
      </c>
      <c r="U3" t="s">
        <v>5039</v>
      </c>
      <c r="V3" t="s">
        <v>5040</v>
      </c>
      <c r="W3" s="6" t="s">
        <v>5041</v>
      </c>
    </row>
    <row r="4" spans="1:23" x14ac:dyDescent="0.3">
      <c r="A4" t="s">
        <v>688</v>
      </c>
      <c r="B4" t="s">
        <v>1688</v>
      </c>
      <c r="C4" t="s">
        <v>2688</v>
      </c>
      <c r="D4" t="s">
        <v>3688</v>
      </c>
      <c r="E4" t="s">
        <v>4688</v>
      </c>
      <c r="F4">
        <v>49</v>
      </c>
      <c r="G4" t="s">
        <v>5016</v>
      </c>
      <c r="H4" t="s">
        <v>5019</v>
      </c>
      <c r="I4" t="s">
        <v>5025</v>
      </c>
      <c r="J4">
        <v>20091</v>
      </c>
      <c r="K4">
        <v>89</v>
      </c>
      <c r="L4" s="7">
        <v>45292</v>
      </c>
      <c r="M4" t="s">
        <v>5030</v>
      </c>
      <c r="N4">
        <v>10</v>
      </c>
      <c r="O4">
        <v>2751</v>
      </c>
      <c r="T4" s="4">
        <v>1000</v>
      </c>
      <c r="U4" s="4">
        <v>44.704000000000001</v>
      </c>
      <c r="V4" s="4">
        <v>86496639</v>
      </c>
      <c r="W4">
        <f>COUNTIF(M2:M1001, "Active")</f>
        <v>312</v>
      </c>
    </row>
    <row r="5" spans="1:23" x14ac:dyDescent="0.3">
      <c r="A5" t="s">
        <v>140</v>
      </c>
      <c r="B5" t="s">
        <v>1140</v>
      </c>
      <c r="C5" t="s">
        <v>2140</v>
      </c>
      <c r="D5" t="s">
        <v>3140</v>
      </c>
      <c r="E5" t="s">
        <v>4140</v>
      </c>
      <c r="F5">
        <v>59</v>
      </c>
      <c r="G5" t="s">
        <v>5015</v>
      </c>
      <c r="H5" t="s">
        <v>5019</v>
      </c>
      <c r="I5" t="s">
        <v>5026</v>
      </c>
      <c r="J5">
        <v>20156</v>
      </c>
      <c r="K5">
        <v>22</v>
      </c>
      <c r="L5" s="7">
        <v>45012</v>
      </c>
      <c r="M5" t="s">
        <v>5028</v>
      </c>
      <c r="N5">
        <v>2</v>
      </c>
      <c r="O5">
        <v>4161</v>
      </c>
      <c r="Q5" t="s">
        <v>5033</v>
      </c>
      <c r="R5">
        <f>MAX(F2:F1001)</f>
        <v>70</v>
      </c>
    </row>
    <row r="6" spans="1:23" x14ac:dyDescent="0.3">
      <c r="A6" t="s">
        <v>64</v>
      </c>
      <c r="B6" t="s">
        <v>1064</v>
      </c>
      <c r="C6" t="s">
        <v>2064</v>
      </c>
      <c r="D6" t="s">
        <v>3064</v>
      </c>
      <c r="E6" t="s">
        <v>4064</v>
      </c>
      <c r="F6">
        <v>56</v>
      </c>
      <c r="G6" t="s">
        <v>5015</v>
      </c>
      <c r="H6" t="s">
        <v>5018</v>
      </c>
      <c r="I6" t="s">
        <v>5024</v>
      </c>
      <c r="J6">
        <v>20245</v>
      </c>
      <c r="K6">
        <v>38</v>
      </c>
      <c r="L6" s="7">
        <v>45027</v>
      </c>
      <c r="M6" t="s">
        <v>5029</v>
      </c>
      <c r="N6">
        <v>10</v>
      </c>
      <c r="O6">
        <v>2856</v>
      </c>
      <c r="Q6" t="s">
        <v>5034</v>
      </c>
      <c r="R6">
        <f>MIN(F3:F1002)</f>
        <v>18</v>
      </c>
    </row>
    <row r="7" spans="1:23" x14ac:dyDescent="0.3">
      <c r="A7" t="s">
        <v>782</v>
      </c>
      <c r="B7" t="s">
        <v>1782</v>
      </c>
      <c r="C7" t="s">
        <v>2782</v>
      </c>
      <c r="D7" t="s">
        <v>3782</v>
      </c>
      <c r="E7" t="s">
        <v>4782</v>
      </c>
      <c r="F7">
        <v>42</v>
      </c>
      <c r="G7" t="s">
        <v>5017</v>
      </c>
      <c r="H7" t="s">
        <v>5022</v>
      </c>
      <c r="I7" t="s">
        <v>5025</v>
      </c>
      <c r="J7">
        <v>20249</v>
      </c>
      <c r="K7">
        <v>90</v>
      </c>
      <c r="L7" s="7">
        <v>44991</v>
      </c>
      <c r="M7" t="s">
        <v>5029</v>
      </c>
      <c r="N7">
        <v>2</v>
      </c>
      <c r="O7">
        <v>8753</v>
      </c>
    </row>
    <row r="8" spans="1:23" x14ac:dyDescent="0.3">
      <c r="A8" t="s">
        <v>62</v>
      </c>
      <c r="B8" t="s">
        <v>1062</v>
      </c>
      <c r="C8" t="s">
        <v>2062</v>
      </c>
      <c r="D8" t="s">
        <v>3062</v>
      </c>
      <c r="E8" t="s">
        <v>4062</v>
      </c>
      <c r="F8">
        <v>37</v>
      </c>
      <c r="G8" t="s">
        <v>5017</v>
      </c>
      <c r="H8" t="s">
        <v>5018</v>
      </c>
      <c r="I8" t="s">
        <v>5023</v>
      </c>
      <c r="J8">
        <v>20366</v>
      </c>
      <c r="K8">
        <v>69</v>
      </c>
      <c r="L8" s="7">
        <v>45105</v>
      </c>
      <c r="M8" t="s">
        <v>5029</v>
      </c>
      <c r="N8">
        <v>10</v>
      </c>
      <c r="O8">
        <v>2403</v>
      </c>
      <c r="Q8" t="s">
        <v>5035</v>
      </c>
      <c r="R8">
        <f>COUNTIF(M2:M1001, "Active")</f>
        <v>312</v>
      </c>
    </row>
    <row r="9" spans="1:23" x14ac:dyDescent="0.3">
      <c r="A9" t="s">
        <v>665</v>
      </c>
      <c r="B9" t="s">
        <v>1665</v>
      </c>
      <c r="C9" t="s">
        <v>2665</v>
      </c>
      <c r="D9" t="s">
        <v>3665</v>
      </c>
      <c r="E9" t="s">
        <v>4665</v>
      </c>
      <c r="F9">
        <v>23</v>
      </c>
      <c r="G9" t="s">
        <v>5017</v>
      </c>
      <c r="H9" t="s">
        <v>5019</v>
      </c>
      <c r="I9" t="s">
        <v>5025</v>
      </c>
      <c r="J9">
        <v>20405</v>
      </c>
      <c r="K9">
        <v>47</v>
      </c>
      <c r="L9" s="7">
        <v>45158</v>
      </c>
      <c r="M9" t="s">
        <v>5028</v>
      </c>
      <c r="N9">
        <v>7</v>
      </c>
      <c r="O9">
        <v>7528</v>
      </c>
    </row>
    <row r="10" spans="1:23" x14ac:dyDescent="0.3">
      <c r="A10" t="s">
        <v>189</v>
      </c>
      <c r="B10" t="s">
        <v>1189</v>
      </c>
      <c r="C10" t="s">
        <v>2189</v>
      </c>
      <c r="D10" t="s">
        <v>3189</v>
      </c>
      <c r="E10" t="s">
        <v>4189</v>
      </c>
      <c r="F10">
        <v>45</v>
      </c>
      <c r="G10" t="s">
        <v>5016</v>
      </c>
      <c r="H10" t="s">
        <v>5019</v>
      </c>
      <c r="I10" t="s">
        <v>5026</v>
      </c>
      <c r="J10">
        <v>20552</v>
      </c>
      <c r="K10">
        <v>50</v>
      </c>
      <c r="L10" s="7">
        <v>44967</v>
      </c>
      <c r="M10" t="s">
        <v>5029</v>
      </c>
      <c r="N10">
        <v>2</v>
      </c>
      <c r="O10">
        <v>604</v>
      </c>
      <c r="Q10" s="5" t="s">
        <v>6</v>
      </c>
      <c r="R10" s="5" t="s">
        <v>5042</v>
      </c>
    </row>
    <row r="11" spans="1:23" x14ac:dyDescent="0.3">
      <c r="A11" t="s">
        <v>711</v>
      </c>
      <c r="B11" t="s">
        <v>1711</v>
      </c>
      <c r="C11" t="s">
        <v>2711</v>
      </c>
      <c r="D11" t="s">
        <v>3711</v>
      </c>
      <c r="E11" t="s">
        <v>4711</v>
      </c>
      <c r="F11">
        <v>61</v>
      </c>
      <c r="G11" t="s">
        <v>5017</v>
      </c>
      <c r="H11" t="s">
        <v>5018</v>
      </c>
      <c r="I11" t="s">
        <v>5026</v>
      </c>
      <c r="J11">
        <v>20644</v>
      </c>
      <c r="K11">
        <v>86</v>
      </c>
      <c r="L11" s="7">
        <v>45201</v>
      </c>
      <c r="M11" t="s">
        <v>5029</v>
      </c>
      <c r="N11">
        <v>4</v>
      </c>
      <c r="O11">
        <v>3093</v>
      </c>
      <c r="Q11" t="s">
        <v>5016</v>
      </c>
      <c r="R11">
        <f>COUNTIF(G2:G1001, "Female")</f>
        <v>350</v>
      </c>
    </row>
    <row r="12" spans="1:23" x14ac:dyDescent="0.3">
      <c r="A12" t="s">
        <v>540</v>
      </c>
      <c r="B12" t="s">
        <v>1540</v>
      </c>
      <c r="C12" t="s">
        <v>2540</v>
      </c>
      <c r="D12" t="s">
        <v>3540</v>
      </c>
      <c r="E12" t="s">
        <v>4540</v>
      </c>
      <c r="F12">
        <v>45</v>
      </c>
      <c r="G12" t="s">
        <v>5016</v>
      </c>
      <c r="H12" t="s">
        <v>5020</v>
      </c>
      <c r="I12" t="s">
        <v>5025</v>
      </c>
      <c r="J12">
        <v>20812</v>
      </c>
      <c r="K12">
        <v>4</v>
      </c>
      <c r="L12" s="7">
        <v>45200</v>
      </c>
      <c r="M12" t="s">
        <v>5028</v>
      </c>
      <c r="N12">
        <v>1</v>
      </c>
      <c r="O12">
        <v>6088</v>
      </c>
      <c r="Q12" t="s">
        <v>5017</v>
      </c>
      <c r="R12">
        <f>COUNTIF(G3:G1002, "Male")</f>
        <v>329</v>
      </c>
    </row>
    <row r="13" spans="1:23" x14ac:dyDescent="0.3">
      <c r="A13" t="s">
        <v>866</v>
      </c>
      <c r="B13" t="s">
        <v>1866</v>
      </c>
      <c r="C13" t="s">
        <v>2866</v>
      </c>
      <c r="D13" t="s">
        <v>3866</v>
      </c>
      <c r="E13" t="s">
        <v>4866</v>
      </c>
      <c r="F13">
        <v>49</v>
      </c>
      <c r="G13" t="s">
        <v>5017</v>
      </c>
      <c r="H13" t="s">
        <v>5020</v>
      </c>
      <c r="I13" t="s">
        <v>5024</v>
      </c>
      <c r="J13">
        <v>20841</v>
      </c>
      <c r="K13">
        <v>35</v>
      </c>
      <c r="L13" s="7">
        <v>45179</v>
      </c>
      <c r="M13" t="s">
        <v>5029</v>
      </c>
      <c r="N13">
        <v>5</v>
      </c>
      <c r="O13">
        <v>9036</v>
      </c>
      <c r="Q13" t="s">
        <v>5015</v>
      </c>
      <c r="R13">
        <f>COUNTIF(G4:G1003, "Other")</f>
        <v>321</v>
      </c>
    </row>
    <row r="14" spans="1:23" x14ac:dyDescent="0.3">
      <c r="A14" t="s">
        <v>256</v>
      </c>
      <c r="B14" t="s">
        <v>1256</v>
      </c>
      <c r="C14" t="s">
        <v>2256</v>
      </c>
      <c r="D14" t="s">
        <v>3256</v>
      </c>
      <c r="E14" t="s">
        <v>4256</v>
      </c>
      <c r="F14">
        <v>69</v>
      </c>
      <c r="G14" t="s">
        <v>5017</v>
      </c>
      <c r="H14" t="s">
        <v>5020</v>
      </c>
      <c r="I14" t="s">
        <v>5024</v>
      </c>
      <c r="J14">
        <v>20864</v>
      </c>
      <c r="K14">
        <v>9</v>
      </c>
      <c r="L14" s="7">
        <v>45016</v>
      </c>
      <c r="M14" t="s">
        <v>5029</v>
      </c>
      <c r="N14">
        <v>7</v>
      </c>
      <c r="O14">
        <v>4178</v>
      </c>
    </row>
    <row r="15" spans="1:23" x14ac:dyDescent="0.3">
      <c r="A15" t="s">
        <v>718</v>
      </c>
      <c r="B15" t="s">
        <v>1718</v>
      </c>
      <c r="C15" t="s">
        <v>2718</v>
      </c>
      <c r="D15" t="s">
        <v>3718</v>
      </c>
      <c r="E15" t="s">
        <v>4718</v>
      </c>
      <c r="F15">
        <v>19</v>
      </c>
      <c r="G15" t="s">
        <v>5015</v>
      </c>
      <c r="H15" t="s">
        <v>5020</v>
      </c>
      <c r="I15" t="s">
        <v>5025</v>
      </c>
      <c r="J15">
        <v>20951</v>
      </c>
      <c r="K15">
        <v>97</v>
      </c>
      <c r="L15" s="7">
        <v>45168</v>
      </c>
      <c r="M15" t="s">
        <v>5030</v>
      </c>
      <c r="N15">
        <v>6</v>
      </c>
      <c r="O15">
        <v>7406</v>
      </c>
    </row>
    <row r="16" spans="1:23" x14ac:dyDescent="0.3">
      <c r="A16" t="s">
        <v>505</v>
      </c>
      <c r="B16" t="s">
        <v>1505</v>
      </c>
      <c r="C16" t="s">
        <v>2505</v>
      </c>
      <c r="D16" t="s">
        <v>3505</v>
      </c>
      <c r="E16" t="s">
        <v>4505</v>
      </c>
      <c r="F16">
        <v>49</v>
      </c>
      <c r="G16" t="s">
        <v>5017</v>
      </c>
      <c r="H16" t="s">
        <v>5019</v>
      </c>
      <c r="I16" t="s">
        <v>5023</v>
      </c>
      <c r="J16">
        <v>21032</v>
      </c>
      <c r="K16">
        <v>23</v>
      </c>
      <c r="L16" s="7">
        <v>45156</v>
      </c>
      <c r="M16" t="s">
        <v>5030</v>
      </c>
      <c r="N16">
        <v>10</v>
      </c>
      <c r="O16">
        <v>7050</v>
      </c>
    </row>
    <row r="17" spans="1:15" x14ac:dyDescent="0.3">
      <c r="A17" t="s">
        <v>116</v>
      </c>
      <c r="B17" t="s">
        <v>1116</v>
      </c>
      <c r="C17" t="s">
        <v>2116</v>
      </c>
      <c r="D17" t="s">
        <v>3116</v>
      </c>
      <c r="E17" t="s">
        <v>4116</v>
      </c>
      <c r="F17">
        <v>25</v>
      </c>
      <c r="G17" t="s">
        <v>5016</v>
      </c>
      <c r="H17" t="s">
        <v>5021</v>
      </c>
      <c r="I17" t="s">
        <v>5024</v>
      </c>
      <c r="J17">
        <v>21073</v>
      </c>
      <c r="K17">
        <v>32</v>
      </c>
      <c r="L17" s="7">
        <v>45034</v>
      </c>
      <c r="M17" t="s">
        <v>5028</v>
      </c>
      <c r="N17">
        <v>4</v>
      </c>
      <c r="O17">
        <v>8404</v>
      </c>
    </row>
    <row r="18" spans="1:15" x14ac:dyDescent="0.3">
      <c r="A18" t="s">
        <v>429</v>
      </c>
      <c r="B18" t="s">
        <v>1429</v>
      </c>
      <c r="C18" t="s">
        <v>2429</v>
      </c>
      <c r="D18" t="s">
        <v>3429</v>
      </c>
      <c r="E18" t="s">
        <v>4429</v>
      </c>
      <c r="F18">
        <v>48</v>
      </c>
      <c r="G18" t="s">
        <v>5017</v>
      </c>
      <c r="H18" t="s">
        <v>5018</v>
      </c>
      <c r="I18" t="s">
        <v>5026</v>
      </c>
      <c r="J18">
        <v>21098</v>
      </c>
      <c r="K18">
        <v>13</v>
      </c>
      <c r="L18" s="7">
        <v>45072</v>
      </c>
      <c r="M18" t="s">
        <v>5030</v>
      </c>
      <c r="N18">
        <v>8</v>
      </c>
      <c r="O18">
        <v>3860</v>
      </c>
    </row>
    <row r="19" spans="1:15" x14ac:dyDescent="0.3">
      <c r="A19" t="s">
        <v>908</v>
      </c>
      <c r="B19" t="s">
        <v>1908</v>
      </c>
      <c r="C19" t="s">
        <v>2908</v>
      </c>
      <c r="D19" t="s">
        <v>3908</v>
      </c>
      <c r="E19" t="s">
        <v>4908</v>
      </c>
      <c r="F19">
        <v>31</v>
      </c>
      <c r="G19" t="s">
        <v>5016</v>
      </c>
      <c r="H19" t="s">
        <v>5019</v>
      </c>
      <c r="I19" t="s">
        <v>5023</v>
      </c>
      <c r="J19">
        <v>21241</v>
      </c>
      <c r="K19">
        <v>24</v>
      </c>
      <c r="L19" s="7">
        <v>45148</v>
      </c>
      <c r="M19" t="s">
        <v>5029</v>
      </c>
      <c r="N19">
        <v>6</v>
      </c>
      <c r="O19">
        <v>1283</v>
      </c>
    </row>
    <row r="20" spans="1:15" x14ac:dyDescent="0.3">
      <c r="A20" t="s">
        <v>364</v>
      </c>
      <c r="B20" t="s">
        <v>1364</v>
      </c>
      <c r="C20" t="s">
        <v>2364</v>
      </c>
      <c r="D20" t="s">
        <v>3364</v>
      </c>
      <c r="E20" t="s">
        <v>4364</v>
      </c>
      <c r="F20">
        <v>38</v>
      </c>
      <c r="G20" t="s">
        <v>5017</v>
      </c>
      <c r="H20" t="s">
        <v>5022</v>
      </c>
      <c r="I20" t="s">
        <v>5025</v>
      </c>
      <c r="J20">
        <v>21269</v>
      </c>
      <c r="K20">
        <v>21</v>
      </c>
      <c r="L20" s="7">
        <v>45173</v>
      </c>
      <c r="M20" t="s">
        <v>5029</v>
      </c>
      <c r="N20">
        <v>2</v>
      </c>
      <c r="O20">
        <v>2060</v>
      </c>
    </row>
    <row r="21" spans="1:15" x14ac:dyDescent="0.3">
      <c r="A21" t="s">
        <v>910</v>
      </c>
      <c r="B21" t="s">
        <v>1910</v>
      </c>
      <c r="C21" t="s">
        <v>2910</v>
      </c>
      <c r="D21" t="s">
        <v>3910</v>
      </c>
      <c r="E21" t="s">
        <v>4910</v>
      </c>
      <c r="F21">
        <v>35</v>
      </c>
      <c r="G21" t="s">
        <v>5015</v>
      </c>
      <c r="H21" t="s">
        <v>5019</v>
      </c>
      <c r="I21" t="s">
        <v>5027</v>
      </c>
      <c r="J21">
        <v>21453</v>
      </c>
      <c r="K21">
        <v>13</v>
      </c>
      <c r="L21" s="7">
        <v>45283</v>
      </c>
      <c r="M21" t="s">
        <v>5029</v>
      </c>
      <c r="N21">
        <v>9</v>
      </c>
      <c r="O21">
        <v>3495</v>
      </c>
    </row>
    <row r="22" spans="1:15" x14ac:dyDescent="0.3">
      <c r="A22" t="s">
        <v>661</v>
      </c>
      <c r="B22" t="s">
        <v>1661</v>
      </c>
      <c r="C22" t="s">
        <v>2661</v>
      </c>
      <c r="D22" t="s">
        <v>3661</v>
      </c>
      <c r="E22" t="s">
        <v>4661</v>
      </c>
      <c r="F22">
        <v>67</v>
      </c>
      <c r="G22" t="s">
        <v>5016</v>
      </c>
      <c r="H22" t="s">
        <v>5019</v>
      </c>
      <c r="I22" t="s">
        <v>5025</v>
      </c>
      <c r="J22">
        <v>21478</v>
      </c>
      <c r="K22">
        <v>88</v>
      </c>
      <c r="L22" s="7">
        <v>45004</v>
      </c>
      <c r="M22" t="s">
        <v>5029</v>
      </c>
      <c r="N22">
        <v>2</v>
      </c>
      <c r="O22">
        <v>1336</v>
      </c>
    </row>
    <row r="23" spans="1:15" x14ac:dyDescent="0.3">
      <c r="A23" t="s">
        <v>778</v>
      </c>
      <c r="B23" t="s">
        <v>1778</v>
      </c>
      <c r="C23" t="s">
        <v>2778</v>
      </c>
      <c r="D23" t="s">
        <v>3778</v>
      </c>
      <c r="E23" t="s">
        <v>4778</v>
      </c>
      <c r="F23">
        <v>62</v>
      </c>
      <c r="G23" t="s">
        <v>5015</v>
      </c>
      <c r="H23" t="s">
        <v>5019</v>
      </c>
      <c r="I23" t="s">
        <v>5027</v>
      </c>
      <c r="J23">
        <v>22756</v>
      </c>
      <c r="K23">
        <v>84</v>
      </c>
      <c r="L23" s="7">
        <v>45166</v>
      </c>
      <c r="M23" t="s">
        <v>5028</v>
      </c>
      <c r="N23">
        <v>1</v>
      </c>
      <c r="O23">
        <v>9212</v>
      </c>
    </row>
    <row r="24" spans="1:15" x14ac:dyDescent="0.3">
      <c r="A24" t="s">
        <v>69</v>
      </c>
      <c r="B24" t="s">
        <v>1069</v>
      </c>
      <c r="C24" t="s">
        <v>2069</v>
      </c>
      <c r="D24" t="s">
        <v>3069</v>
      </c>
      <c r="E24" t="s">
        <v>4069</v>
      </c>
      <c r="F24">
        <v>26</v>
      </c>
      <c r="G24" t="s">
        <v>5015</v>
      </c>
      <c r="H24" t="s">
        <v>5021</v>
      </c>
      <c r="I24" t="s">
        <v>5023</v>
      </c>
      <c r="J24">
        <v>22822</v>
      </c>
      <c r="K24">
        <v>69</v>
      </c>
      <c r="L24" s="7">
        <v>44942</v>
      </c>
      <c r="M24" t="s">
        <v>5029</v>
      </c>
      <c r="N24">
        <v>6</v>
      </c>
      <c r="O24">
        <v>7462</v>
      </c>
    </row>
    <row r="25" spans="1:15" x14ac:dyDescent="0.3">
      <c r="A25" t="s">
        <v>757</v>
      </c>
      <c r="B25" t="s">
        <v>1757</v>
      </c>
      <c r="C25" t="s">
        <v>2757</v>
      </c>
      <c r="D25" t="s">
        <v>3757</v>
      </c>
      <c r="E25" t="s">
        <v>4757</v>
      </c>
      <c r="F25">
        <v>60</v>
      </c>
      <c r="G25" t="s">
        <v>5017</v>
      </c>
      <c r="H25" t="s">
        <v>5020</v>
      </c>
      <c r="I25" t="s">
        <v>5027</v>
      </c>
      <c r="J25">
        <v>22851</v>
      </c>
      <c r="K25">
        <v>51</v>
      </c>
      <c r="L25" s="7">
        <v>45234</v>
      </c>
      <c r="M25" t="s">
        <v>5030</v>
      </c>
      <c r="N25">
        <v>10</v>
      </c>
      <c r="O25">
        <v>4497</v>
      </c>
    </row>
    <row r="26" spans="1:15" x14ac:dyDescent="0.3">
      <c r="A26" t="s">
        <v>325</v>
      </c>
      <c r="B26" t="s">
        <v>1325</v>
      </c>
      <c r="C26" t="s">
        <v>2325</v>
      </c>
      <c r="D26" t="s">
        <v>3325</v>
      </c>
      <c r="E26" t="s">
        <v>4325</v>
      </c>
      <c r="F26">
        <v>63</v>
      </c>
      <c r="G26" t="s">
        <v>5015</v>
      </c>
      <c r="H26" t="s">
        <v>5021</v>
      </c>
      <c r="I26" t="s">
        <v>5026</v>
      </c>
      <c r="J26">
        <v>22931</v>
      </c>
      <c r="K26">
        <v>53</v>
      </c>
      <c r="L26" s="7">
        <v>45080</v>
      </c>
      <c r="M26" t="s">
        <v>5030</v>
      </c>
      <c r="N26">
        <v>5</v>
      </c>
      <c r="O26">
        <v>672</v>
      </c>
    </row>
    <row r="27" spans="1:15" x14ac:dyDescent="0.3">
      <c r="A27" t="s">
        <v>235</v>
      </c>
      <c r="B27" t="s">
        <v>1235</v>
      </c>
      <c r="C27" t="s">
        <v>2235</v>
      </c>
      <c r="D27" t="s">
        <v>3235</v>
      </c>
      <c r="E27" t="s">
        <v>4235</v>
      </c>
      <c r="F27">
        <v>28</v>
      </c>
      <c r="G27" t="s">
        <v>5016</v>
      </c>
      <c r="H27" t="s">
        <v>5019</v>
      </c>
      <c r="I27" t="s">
        <v>5026</v>
      </c>
      <c r="J27">
        <v>22961</v>
      </c>
      <c r="K27">
        <v>2</v>
      </c>
      <c r="L27" s="7">
        <v>45227</v>
      </c>
      <c r="M27" t="s">
        <v>5028</v>
      </c>
      <c r="N27">
        <v>6</v>
      </c>
      <c r="O27">
        <v>9329</v>
      </c>
    </row>
    <row r="28" spans="1:15" x14ac:dyDescent="0.3">
      <c r="A28" t="s">
        <v>553</v>
      </c>
      <c r="B28" t="s">
        <v>1553</v>
      </c>
      <c r="C28" t="s">
        <v>2553</v>
      </c>
      <c r="D28" t="s">
        <v>3553</v>
      </c>
      <c r="E28" t="s">
        <v>4553</v>
      </c>
      <c r="F28">
        <v>70</v>
      </c>
      <c r="G28" t="s">
        <v>5016</v>
      </c>
      <c r="H28" t="s">
        <v>5022</v>
      </c>
      <c r="I28" t="s">
        <v>5025</v>
      </c>
      <c r="J28">
        <v>23151</v>
      </c>
      <c r="K28">
        <v>12</v>
      </c>
      <c r="L28" s="7">
        <v>45185</v>
      </c>
      <c r="M28" t="s">
        <v>5028</v>
      </c>
      <c r="N28">
        <v>4</v>
      </c>
      <c r="O28">
        <v>6549</v>
      </c>
    </row>
    <row r="29" spans="1:15" x14ac:dyDescent="0.3">
      <c r="A29" t="s">
        <v>148</v>
      </c>
      <c r="B29" t="s">
        <v>1148</v>
      </c>
      <c r="C29" t="s">
        <v>2148</v>
      </c>
      <c r="D29" t="s">
        <v>3148</v>
      </c>
      <c r="E29" t="s">
        <v>4148</v>
      </c>
      <c r="F29">
        <v>28</v>
      </c>
      <c r="G29" t="s">
        <v>5017</v>
      </c>
      <c r="H29" t="s">
        <v>5019</v>
      </c>
      <c r="I29" t="s">
        <v>5027</v>
      </c>
      <c r="J29">
        <v>23187</v>
      </c>
      <c r="K29">
        <v>1</v>
      </c>
      <c r="L29" s="7">
        <v>45187</v>
      </c>
      <c r="M29" t="s">
        <v>5028</v>
      </c>
      <c r="N29">
        <v>8</v>
      </c>
      <c r="O29">
        <v>6107</v>
      </c>
    </row>
    <row r="30" spans="1:15" x14ac:dyDescent="0.3">
      <c r="A30" t="s">
        <v>517</v>
      </c>
      <c r="B30" t="s">
        <v>1517</v>
      </c>
      <c r="C30" t="s">
        <v>2517</v>
      </c>
      <c r="D30" t="s">
        <v>3517</v>
      </c>
      <c r="E30" t="s">
        <v>4517</v>
      </c>
      <c r="F30">
        <v>26</v>
      </c>
      <c r="G30" t="s">
        <v>5017</v>
      </c>
      <c r="H30" t="s">
        <v>5018</v>
      </c>
      <c r="I30" t="s">
        <v>5025</v>
      </c>
      <c r="J30">
        <v>23508</v>
      </c>
      <c r="K30">
        <v>89</v>
      </c>
      <c r="L30" s="7">
        <v>45141</v>
      </c>
      <c r="M30" t="s">
        <v>5030</v>
      </c>
      <c r="N30">
        <v>6</v>
      </c>
      <c r="O30">
        <v>6996</v>
      </c>
    </row>
    <row r="31" spans="1:15" x14ac:dyDescent="0.3">
      <c r="A31" t="s">
        <v>1006</v>
      </c>
      <c r="B31" t="s">
        <v>2006</v>
      </c>
      <c r="C31" t="s">
        <v>3006</v>
      </c>
      <c r="D31" t="s">
        <v>4006</v>
      </c>
      <c r="E31" t="s">
        <v>5006</v>
      </c>
      <c r="F31">
        <v>69</v>
      </c>
      <c r="G31" t="s">
        <v>5017</v>
      </c>
      <c r="H31" t="s">
        <v>5018</v>
      </c>
      <c r="I31" t="s">
        <v>5023</v>
      </c>
      <c r="J31">
        <v>23683</v>
      </c>
      <c r="K31">
        <v>83</v>
      </c>
      <c r="L31" s="7">
        <v>45249</v>
      </c>
      <c r="M31" t="s">
        <v>5028</v>
      </c>
      <c r="N31">
        <v>5</v>
      </c>
      <c r="O31">
        <v>3873</v>
      </c>
    </row>
    <row r="32" spans="1:15" x14ac:dyDescent="0.3">
      <c r="A32" t="s">
        <v>203</v>
      </c>
      <c r="B32" t="s">
        <v>1203</v>
      </c>
      <c r="C32" t="s">
        <v>2203</v>
      </c>
      <c r="D32" t="s">
        <v>3203</v>
      </c>
      <c r="E32" t="s">
        <v>4203</v>
      </c>
      <c r="F32">
        <v>26</v>
      </c>
      <c r="G32" t="s">
        <v>5017</v>
      </c>
      <c r="H32" t="s">
        <v>5019</v>
      </c>
      <c r="I32" t="s">
        <v>5025</v>
      </c>
      <c r="J32">
        <v>23700</v>
      </c>
      <c r="K32">
        <v>75</v>
      </c>
      <c r="L32" s="7">
        <v>45247</v>
      </c>
      <c r="M32" t="s">
        <v>5030</v>
      </c>
      <c r="N32">
        <v>7</v>
      </c>
      <c r="O32">
        <v>2317</v>
      </c>
    </row>
    <row r="33" spans="1:18" x14ac:dyDescent="0.3">
      <c r="A33" t="s">
        <v>523</v>
      </c>
      <c r="B33" t="s">
        <v>1523</v>
      </c>
      <c r="C33" t="s">
        <v>2523</v>
      </c>
      <c r="D33" t="s">
        <v>3523</v>
      </c>
      <c r="E33" t="s">
        <v>4523</v>
      </c>
      <c r="F33">
        <v>41</v>
      </c>
      <c r="G33" t="s">
        <v>5015</v>
      </c>
      <c r="H33" t="s">
        <v>5021</v>
      </c>
      <c r="I33" t="s">
        <v>5023</v>
      </c>
      <c r="J33">
        <v>23728</v>
      </c>
      <c r="K33">
        <v>43</v>
      </c>
      <c r="L33" s="7">
        <v>45137</v>
      </c>
      <c r="M33" t="s">
        <v>5028</v>
      </c>
      <c r="N33">
        <v>7</v>
      </c>
      <c r="O33">
        <v>817</v>
      </c>
      <c r="Q33" s="5" t="s">
        <v>8</v>
      </c>
      <c r="R33" s="5" t="s">
        <v>5042</v>
      </c>
    </row>
    <row r="34" spans="1:18" x14ac:dyDescent="0.3">
      <c r="A34" t="s">
        <v>196</v>
      </c>
      <c r="B34" t="s">
        <v>1196</v>
      </c>
      <c r="C34" t="s">
        <v>2196</v>
      </c>
      <c r="D34" t="s">
        <v>3196</v>
      </c>
      <c r="E34" t="s">
        <v>4196</v>
      </c>
      <c r="F34">
        <v>45</v>
      </c>
      <c r="G34" t="s">
        <v>5016</v>
      </c>
      <c r="H34" t="s">
        <v>5019</v>
      </c>
      <c r="I34" t="s">
        <v>5024</v>
      </c>
      <c r="J34">
        <v>23771</v>
      </c>
      <c r="K34">
        <v>98</v>
      </c>
      <c r="L34" s="7">
        <v>45251</v>
      </c>
      <c r="M34" t="s">
        <v>5030</v>
      </c>
      <c r="N34">
        <v>9</v>
      </c>
      <c r="O34">
        <v>4647</v>
      </c>
      <c r="Q34" t="s">
        <v>5023</v>
      </c>
      <c r="R34">
        <f>COUNTIF(I2:I1001, "London")</f>
        <v>194</v>
      </c>
    </row>
    <row r="35" spans="1:18" x14ac:dyDescent="0.3">
      <c r="A35" t="s">
        <v>419</v>
      </c>
      <c r="B35" t="s">
        <v>1419</v>
      </c>
      <c r="C35" t="s">
        <v>2419</v>
      </c>
      <c r="D35" t="s">
        <v>3419</v>
      </c>
      <c r="E35" t="s">
        <v>4419</v>
      </c>
      <c r="F35">
        <v>25</v>
      </c>
      <c r="G35" t="s">
        <v>5017</v>
      </c>
      <c r="H35" t="s">
        <v>5022</v>
      </c>
      <c r="I35" t="s">
        <v>5024</v>
      </c>
      <c r="J35">
        <v>23958</v>
      </c>
      <c r="K35">
        <v>52</v>
      </c>
      <c r="L35" s="7">
        <v>45237</v>
      </c>
      <c r="M35" t="s">
        <v>5028</v>
      </c>
      <c r="N35">
        <v>8</v>
      </c>
      <c r="O35">
        <v>9581</v>
      </c>
      <c r="Q35" t="s">
        <v>5026</v>
      </c>
      <c r="R35">
        <f>COUNTIF(I3:I1002, "Mumbai")</f>
        <v>200</v>
      </c>
    </row>
    <row r="36" spans="1:18" x14ac:dyDescent="0.3">
      <c r="A36" t="s">
        <v>901</v>
      </c>
      <c r="B36" t="s">
        <v>1901</v>
      </c>
      <c r="C36" t="s">
        <v>2901</v>
      </c>
      <c r="D36" t="s">
        <v>3901</v>
      </c>
      <c r="E36" t="s">
        <v>4901</v>
      </c>
      <c r="F36">
        <v>40</v>
      </c>
      <c r="G36" t="s">
        <v>5016</v>
      </c>
      <c r="H36" t="s">
        <v>5022</v>
      </c>
      <c r="I36" t="s">
        <v>5027</v>
      </c>
      <c r="J36">
        <v>24030</v>
      </c>
      <c r="K36">
        <v>67</v>
      </c>
      <c r="L36" s="7">
        <v>45215</v>
      </c>
      <c r="M36" t="s">
        <v>5029</v>
      </c>
      <c r="N36">
        <v>3</v>
      </c>
      <c r="O36">
        <v>5042</v>
      </c>
      <c r="Q36" t="s">
        <v>5025</v>
      </c>
      <c r="R36">
        <f>COUNTIF(I4:I1003, "New York")</f>
        <v>225</v>
      </c>
    </row>
    <row r="37" spans="1:18" x14ac:dyDescent="0.3">
      <c r="A37" t="s">
        <v>88</v>
      </c>
      <c r="B37" t="s">
        <v>1088</v>
      </c>
      <c r="C37" t="s">
        <v>2088</v>
      </c>
      <c r="D37" t="s">
        <v>3088</v>
      </c>
      <c r="E37" t="s">
        <v>4088</v>
      </c>
      <c r="F37">
        <v>68</v>
      </c>
      <c r="G37" t="s">
        <v>5015</v>
      </c>
      <c r="H37" t="s">
        <v>5019</v>
      </c>
      <c r="I37" t="s">
        <v>5027</v>
      </c>
      <c r="J37">
        <v>24058</v>
      </c>
      <c r="K37">
        <v>69</v>
      </c>
      <c r="L37" s="7">
        <v>45091</v>
      </c>
      <c r="M37" t="s">
        <v>5030</v>
      </c>
      <c r="N37">
        <v>1</v>
      </c>
      <c r="O37">
        <v>2534</v>
      </c>
      <c r="Q37" t="s">
        <v>5027</v>
      </c>
      <c r="R37">
        <f>COUNTIF(I5:I1004, "Sydney")</f>
        <v>186</v>
      </c>
    </row>
    <row r="38" spans="1:18" x14ac:dyDescent="0.3">
      <c r="A38" t="s">
        <v>369</v>
      </c>
      <c r="B38" t="s">
        <v>1369</v>
      </c>
      <c r="C38" t="s">
        <v>2369</v>
      </c>
      <c r="D38" t="s">
        <v>3369</v>
      </c>
      <c r="E38" t="s">
        <v>4369</v>
      </c>
      <c r="F38">
        <v>43</v>
      </c>
      <c r="G38" t="s">
        <v>5017</v>
      </c>
      <c r="H38" t="s">
        <v>5021</v>
      </c>
      <c r="I38" t="s">
        <v>5024</v>
      </c>
      <c r="J38">
        <v>24126</v>
      </c>
      <c r="K38">
        <v>81</v>
      </c>
      <c r="L38" s="7">
        <v>45257</v>
      </c>
      <c r="M38" t="s">
        <v>5029</v>
      </c>
      <c r="N38">
        <v>7</v>
      </c>
      <c r="O38">
        <v>7289</v>
      </c>
      <c r="Q38" t="s">
        <v>5024</v>
      </c>
      <c r="R38">
        <f>COUNTIF(I6:I1005, "Toronto")</f>
        <v>193</v>
      </c>
    </row>
    <row r="39" spans="1:18" x14ac:dyDescent="0.3">
      <c r="A39" t="s">
        <v>33</v>
      </c>
      <c r="B39" t="s">
        <v>1033</v>
      </c>
      <c r="C39" t="s">
        <v>2033</v>
      </c>
      <c r="D39" t="s">
        <v>3033</v>
      </c>
      <c r="E39" t="s">
        <v>4033</v>
      </c>
      <c r="F39">
        <v>41</v>
      </c>
      <c r="G39" t="s">
        <v>5015</v>
      </c>
      <c r="H39" t="s">
        <v>5022</v>
      </c>
      <c r="I39" t="s">
        <v>5025</v>
      </c>
      <c r="J39">
        <v>24349</v>
      </c>
      <c r="K39">
        <v>8</v>
      </c>
      <c r="L39" s="7">
        <v>44972</v>
      </c>
      <c r="M39" t="s">
        <v>5029</v>
      </c>
      <c r="N39">
        <v>4</v>
      </c>
      <c r="O39">
        <v>5739</v>
      </c>
      <c r="R39">
        <f>SUM(R34:R38)</f>
        <v>998</v>
      </c>
    </row>
    <row r="40" spans="1:18" x14ac:dyDescent="0.3">
      <c r="A40" t="s">
        <v>690</v>
      </c>
      <c r="B40" t="s">
        <v>1690</v>
      </c>
      <c r="C40" t="s">
        <v>2690</v>
      </c>
      <c r="D40" t="s">
        <v>3690</v>
      </c>
      <c r="E40" t="s">
        <v>4690</v>
      </c>
      <c r="F40">
        <v>35</v>
      </c>
      <c r="G40" t="s">
        <v>5016</v>
      </c>
      <c r="H40" t="s">
        <v>5019</v>
      </c>
      <c r="I40" t="s">
        <v>5027</v>
      </c>
      <c r="J40">
        <v>24407</v>
      </c>
      <c r="K40">
        <v>71</v>
      </c>
      <c r="L40" s="7">
        <v>44934</v>
      </c>
      <c r="M40" t="s">
        <v>5029</v>
      </c>
      <c r="N40">
        <v>1</v>
      </c>
      <c r="O40">
        <v>7184</v>
      </c>
      <c r="R40">
        <f>COUNTBLANK(I2:I1001)</f>
        <v>0</v>
      </c>
    </row>
    <row r="41" spans="1:18" x14ac:dyDescent="0.3">
      <c r="A41" t="s">
        <v>644</v>
      </c>
      <c r="B41" t="s">
        <v>1644</v>
      </c>
      <c r="C41" t="s">
        <v>2644</v>
      </c>
      <c r="D41" t="s">
        <v>3644</v>
      </c>
      <c r="E41" t="s">
        <v>4644</v>
      </c>
      <c r="F41">
        <v>48</v>
      </c>
      <c r="G41" t="s">
        <v>5016</v>
      </c>
      <c r="H41" t="s">
        <v>5022</v>
      </c>
      <c r="I41" t="s">
        <v>5026</v>
      </c>
      <c r="J41">
        <v>24445</v>
      </c>
      <c r="K41">
        <v>10</v>
      </c>
      <c r="L41" s="7">
        <v>45110</v>
      </c>
      <c r="M41" t="s">
        <v>5029</v>
      </c>
      <c r="N41">
        <v>3</v>
      </c>
      <c r="O41">
        <v>686</v>
      </c>
    </row>
    <row r="42" spans="1:18" x14ac:dyDescent="0.3">
      <c r="A42" t="s">
        <v>641</v>
      </c>
      <c r="B42" t="s">
        <v>1641</v>
      </c>
      <c r="C42" t="s">
        <v>2641</v>
      </c>
      <c r="D42" t="s">
        <v>3641</v>
      </c>
      <c r="E42" t="s">
        <v>4641</v>
      </c>
      <c r="F42">
        <v>47</v>
      </c>
      <c r="G42" t="s">
        <v>5016</v>
      </c>
      <c r="H42" t="s">
        <v>5020</v>
      </c>
      <c r="I42" t="s">
        <v>5026</v>
      </c>
      <c r="J42">
        <v>24583</v>
      </c>
      <c r="K42">
        <v>14</v>
      </c>
      <c r="L42" s="7">
        <v>45068</v>
      </c>
      <c r="M42" t="s">
        <v>5028</v>
      </c>
      <c r="N42">
        <v>10</v>
      </c>
      <c r="O42">
        <v>7023</v>
      </c>
    </row>
    <row r="43" spans="1:18" x14ac:dyDescent="0.3">
      <c r="A43" t="s">
        <v>855</v>
      </c>
      <c r="B43" t="s">
        <v>1855</v>
      </c>
      <c r="C43" t="s">
        <v>2855</v>
      </c>
      <c r="D43" t="s">
        <v>3855</v>
      </c>
      <c r="E43" t="s">
        <v>4855</v>
      </c>
      <c r="F43">
        <v>56</v>
      </c>
      <c r="G43" t="s">
        <v>5015</v>
      </c>
      <c r="H43" t="s">
        <v>5022</v>
      </c>
      <c r="I43" t="s">
        <v>5025</v>
      </c>
      <c r="J43">
        <v>24809</v>
      </c>
      <c r="K43">
        <v>69</v>
      </c>
      <c r="L43" s="7">
        <v>44961</v>
      </c>
      <c r="M43" t="s">
        <v>5029</v>
      </c>
      <c r="N43">
        <v>8</v>
      </c>
      <c r="O43">
        <v>1083</v>
      </c>
    </row>
    <row r="44" spans="1:18" x14ac:dyDescent="0.3">
      <c r="A44" t="s">
        <v>464</v>
      </c>
      <c r="B44" t="s">
        <v>1464</v>
      </c>
      <c r="C44" t="s">
        <v>2464</v>
      </c>
      <c r="D44" t="s">
        <v>3464</v>
      </c>
      <c r="E44" t="s">
        <v>4464</v>
      </c>
      <c r="F44">
        <v>35</v>
      </c>
      <c r="G44" t="s">
        <v>5015</v>
      </c>
      <c r="H44" t="s">
        <v>5018</v>
      </c>
      <c r="I44" t="s">
        <v>5026</v>
      </c>
      <c r="J44">
        <v>25060</v>
      </c>
      <c r="K44">
        <v>47</v>
      </c>
      <c r="L44" s="7">
        <v>45000</v>
      </c>
      <c r="M44" t="s">
        <v>5028</v>
      </c>
      <c r="N44">
        <v>6</v>
      </c>
      <c r="O44">
        <v>674</v>
      </c>
    </row>
    <row r="45" spans="1:18" x14ac:dyDescent="0.3">
      <c r="A45" t="s">
        <v>596</v>
      </c>
      <c r="B45" t="s">
        <v>1596</v>
      </c>
      <c r="C45" t="s">
        <v>2596</v>
      </c>
      <c r="D45" t="s">
        <v>3596</v>
      </c>
      <c r="E45" t="s">
        <v>4596</v>
      </c>
      <c r="F45">
        <v>49</v>
      </c>
      <c r="G45" t="s">
        <v>5017</v>
      </c>
      <c r="H45" t="s">
        <v>5020</v>
      </c>
      <c r="I45" t="s">
        <v>5026</v>
      </c>
      <c r="J45">
        <v>25156</v>
      </c>
      <c r="K45">
        <v>7</v>
      </c>
      <c r="L45" s="7">
        <v>44976</v>
      </c>
      <c r="M45" t="s">
        <v>5030</v>
      </c>
      <c r="N45">
        <v>3</v>
      </c>
      <c r="O45">
        <v>4285</v>
      </c>
    </row>
    <row r="46" spans="1:18" x14ac:dyDescent="0.3">
      <c r="A46" t="s">
        <v>700</v>
      </c>
      <c r="B46" t="s">
        <v>1700</v>
      </c>
      <c r="C46" t="s">
        <v>2700</v>
      </c>
      <c r="D46" t="s">
        <v>3700</v>
      </c>
      <c r="E46" t="s">
        <v>4700</v>
      </c>
      <c r="F46">
        <v>20</v>
      </c>
      <c r="G46" t="s">
        <v>5017</v>
      </c>
      <c r="H46" t="s">
        <v>5018</v>
      </c>
      <c r="I46" t="s">
        <v>5026</v>
      </c>
      <c r="J46">
        <v>25202</v>
      </c>
      <c r="K46">
        <v>100</v>
      </c>
      <c r="L46" s="7">
        <v>45291</v>
      </c>
      <c r="M46" t="s">
        <v>5030</v>
      </c>
      <c r="N46">
        <v>10</v>
      </c>
      <c r="O46">
        <v>7344</v>
      </c>
    </row>
    <row r="47" spans="1:18" x14ac:dyDescent="0.3">
      <c r="A47" t="s">
        <v>23</v>
      </c>
      <c r="B47" t="s">
        <v>1023</v>
      </c>
      <c r="C47" t="s">
        <v>2023</v>
      </c>
      <c r="D47" t="s">
        <v>3023</v>
      </c>
      <c r="E47" t="s">
        <v>4023</v>
      </c>
      <c r="F47">
        <v>48</v>
      </c>
      <c r="G47" t="s">
        <v>5017</v>
      </c>
      <c r="H47" t="s">
        <v>5022</v>
      </c>
      <c r="I47" t="s">
        <v>5025</v>
      </c>
      <c r="J47">
        <v>25288</v>
      </c>
      <c r="K47">
        <v>60</v>
      </c>
      <c r="L47" s="7">
        <v>45054</v>
      </c>
      <c r="M47" t="s">
        <v>5030</v>
      </c>
      <c r="N47">
        <v>4</v>
      </c>
      <c r="O47">
        <v>9436</v>
      </c>
    </row>
    <row r="48" spans="1:18" x14ac:dyDescent="0.3">
      <c r="A48" t="s">
        <v>934</v>
      </c>
      <c r="B48" t="s">
        <v>1934</v>
      </c>
      <c r="C48" t="s">
        <v>2934</v>
      </c>
      <c r="D48" t="s">
        <v>3934</v>
      </c>
      <c r="E48" t="s">
        <v>4934</v>
      </c>
      <c r="F48">
        <v>37</v>
      </c>
      <c r="G48" t="s">
        <v>5017</v>
      </c>
      <c r="H48" t="s">
        <v>5019</v>
      </c>
      <c r="I48" t="s">
        <v>5026</v>
      </c>
      <c r="J48">
        <v>25715</v>
      </c>
      <c r="K48">
        <v>85</v>
      </c>
      <c r="L48" s="7">
        <v>45060</v>
      </c>
      <c r="M48" t="s">
        <v>5028</v>
      </c>
      <c r="N48">
        <v>8</v>
      </c>
      <c r="O48">
        <v>633</v>
      </c>
    </row>
    <row r="49" spans="1:15" x14ac:dyDescent="0.3">
      <c r="A49" t="s">
        <v>394</v>
      </c>
      <c r="B49" t="s">
        <v>1394</v>
      </c>
      <c r="C49" t="s">
        <v>2394</v>
      </c>
      <c r="D49" t="s">
        <v>3394</v>
      </c>
      <c r="E49" t="s">
        <v>4394</v>
      </c>
      <c r="F49">
        <v>20</v>
      </c>
      <c r="G49" t="s">
        <v>5015</v>
      </c>
      <c r="H49" t="s">
        <v>5022</v>
      </c>
      <c r="I49" t="s">
        <v>5026</v>
      </c>
      <c r="J49">
        <v>25721</v>
      </c>
      <c r="K49">
        <v>85</v>
      </c>
      <c r="L49" s="7">
        <v>45286</v>
      </c>
      <c r="M49" t="s">
        <v>5029</v>
      </c>
      <c r="N49">
        <v>7</v>
      </c>
      <c r="O49">
        <v>256</v>
      </c>
    </row>
    <row r="50" spans="1:15" x14ac:dyDescent="0.3">
      <c r="A50" t="s">
        <v>264</v>
      </c>
      <c r="B50" t="s">
        <v>1264</v>
      </c>
      <c r="C50" t="s">
        <v>2264</v>
      </c>
      <c r="D50" t="s">
        <v>3264</v>
      </c>
      <c r="E50" t="s">
        <v>4264</v>
      </c>
      <c r="F50">
        <v>23</v>
      </c>
      <c r="G50" t="s">
        <v>5016</v>
      </c>
      <c r="H50" t="s">
        <v>5018</v>
      </c>
      <c r="I50" t="s">
        <v>5023</v>
      </c>
      <c r="J50">
        <v>26052</v>
      </c>
      <c r="K50">
        <v>95</v>
      </c>
      <c r="L50" s="7">
        <v>44954</v>
      </c>
      <c r="M50" t="s">
        <v>5030</v>
      </c>
      <c r="N50">
        <v>9</v>
      </c>
      <c r="O50">
        <v>6842</v>
      </c>
    </row>
    <row r="51" spans="1:15" x14ac:dyDescent="0.3">
      <c r="A51" t="s">
        <v>946</v>
      </c>
      <c r="B51" t="s">
        <v>1946</v>
      </c>
      <c r="C51" t="s">
        <v>2946</v>
      </c>
      <c r="D51" t="s">
        <v>3946</v>
      </c>
      <c r="E51" t="s">
        <v>4946</v>
      </c>
      <c r="F51">
        <v>58</v>
      </c>
      <c r="G51" t="s">
        <v>5016</v>
      </c>
      <c r="H51" t="s">
        <v>5018</v>
      </c>
      <c r="I51" t="s">
        <v>5026</v>
      </c>
      <c r="J51">
        <v>26311</v>
      </c>
      <c r="K51">
        <v>92</v>
      </c>
      <c r="L51" s="7">
        <v>45002</v>
      </c>
      <c r="M51" t="s">
        <v>5030</v>
      </c>
      <c r="N51">
        <v>9</v>
      </c>
      <c r="O51">
        <v>3504</v>
      </c>
    </row>
    <row r="52" spans="1:15" x14ac:dyDescent="0.3">
      <c r="A52" t="s">
        <v>869</v>
      </c>
      <c r="B52" t="s">
        <v>1869</v>
      </c>
      <c r="C52" t="s">
        <v>2869</v>
      </c>
      <c r="D52" t="s">
        <v>3869</v>
      </c>
      <c r="E52" t="s">
        <v>4869</v>
      </c>
      <c r="F52">
        <v>50</v>
      </c>
      <c r="G52" t="s">
        <v>5016</v>
      </c>
      <c r="H52" t="s">
        <v>5019</v>
      </c>
      <c r="I52" t="s">
        <v>5023</v>
      </c>
      <c r="J52">
        <v>26444</v>
      </c>
      <c r="K52">
        <v>95</v>
      </c>
      <c r="L52" s="7">
        <v>45135</v>
      </c>
      <c r="M52" t="s">
        <v>5028</v>
      </c>
      <c r="N52">
        <v>6</v>
      </c>
      <c r="O52">
        <v>9008</v>
      </c>
    </row>
    <row r="53" spans="1:15" x14ac:dyDescent="0.3">
      <c r="A53" t="s">
        <v>344</v>
      </c>
      <c r="B53" t="s">
        <v>1344</v>
      </c>
      <c r="C53" t="s">
        <v>2344</v>
      </c>
      <c r="D53" t="s">
        <v>3344</v>
      </c>
      <c r="E53" t="s">
        <v>4344</v>
      </c>
      <c r="F53">
        <v>58</v>
      </c>
      <c r="G53" t="s">
        <v>5016</v>
      </c>
      <c r="H53" t="s">
        <v>5020</v>
      </c>
      <c r="I53" t="s">
        <v>5023</v>
      </c>
      <c r="J53">
        <v>26614</v>
      </c>
      <c r="K53">
        <v>14</v>
      </c>
      <c r="L53" s="7">
        <v>45075</v>
      </c>
      <c r="M53" t="s">
        <v>5029</v>
      </c>
      <c r="N53">
        <v>9</v>
      </c>
      <c r="O53">
        <v>6616</v>
      </c>
    </row>
    <row r="54" spans="1:15" x14ac:dyDescent="0.3">
      <c r="A54" t="s">
        <v>191</v>
      </c>
      <c r="B54" t="s">
        <v>1191</v>
      </c>
      <c r="C54" t="s">
        <v>2191</v>
      </c>
      <c r="D54" t="s">
        <v>3191</v>
      </c>
      <c r="E54" t="s">
        <v>4191</v>
      </c>
      <c r="F54">
        <v>61</v>
      </c>
      <c r="G54" t="s">
        <v>5016</v>
      </c>
      <c r="H54" t="s">
        <v>5019</v>
      </c>
      <c r="I54" t="s">
        <v>5026</v>
      </c>
      <c r="J54">
        <v>26827</v>
      </c>
      <c r="K54">
        <v>100</v>
      </c>
      <c r="L54" s="7">
        <v>45284</v>
      </c>
      <c r="M54" t="s">
        <v>5028</v>
      </c>
      <c r="N54">
        <v>6</v>
      </c>
      <c r="O54">
        <v>154</v>
      </c>
    </row>
    <row r="55" spans="1:15" x14ac:dyDescent="0.3">
      <c r="A55" t="s">
        <v>357</v>
      </c>
      <c r="B55" t="s">
        <v>1357</v>
      </c>
      <c r="C55" t="s">
        <v>2357</v>
      </c>
      <c r="D55" t="s">
        <v>3357</v>
      </c>
      <c r="E55" t="s">
        <v>4357</v>
      </c>
      <c r="F55">
        <v>47</v>
      </c>
      <c r="G55" t="s">
        <v>5016</v>
      </c>
      <c r="H55" t="s">
        <v>5021</v>
      </c>
      <c r="I55" t="s">
        <v>5023</v>
      </c>
      <c r="J55">
        <v>26908</v>
      </c>
      <c r="K55">
        <v>30</v>
      </c>
      <c r="L55" s="7">
        <v>44957</v>
      </c>
      <c r="M55" t="s">
        <v>5028</v>
      </c>
      <c r="N55">
        <v>5</v>
      </c>
      <c r="O55">
        <v>8951</v>
      </c>
    </row>
    <row r="56" spans="1:15" x14ac:dyDescent="0.3">
      <c r="A56" t="s">
        <v>99</v>
      </c>
      <c r="B56" t="s">
        <v>1099</v>
      </c>
      <c r="C56" t="s">
        <v>2099</v>
      </c>
      <c r="D56" t="s">
        <v>3099</v>
      </c>
      <c r="E56" t="s">
        <v>4099</v>
      </c>
      <c r="F56">
        <v>48</v>
      </c>
      <c r="G56" t="s">
        <v>5016</v>
      </c>
      <c r="H56" t="s">
        <v>5022</v>
      </c>
      <c r="I56" t="s">
        <v>5023</v>
      </c>
      <c r="J56">
        <v>26915</v>
      </c>
      <c r="K56">
        <v>47</v>
      </c>
      <c r="L56" s="7">
        <v>44979</v>
      </c>
      <c r="M56" t="s">
        <v>5030</v>
      </c>
      <c r="N56">
        <v>7</v>
      </c>
      <c r="O56">
        <v>297</v>
      </c>
    </row>
    <row r="57" spans="1:15" x14ac:dyDescent="0.3">
      <c r="A57" t="s">
        <v>695</v>
      </c>
      <c r="B57" t="s">
        <v>1695</v>
      </c>
      <c r="C57" t="s">
        <v>2695</v>
      </c>
      <c r="D57" t="s">
        <v>3695</v>
      </c>
      <c r="E57" t="s">
        <v>4695</v>
      </c>
      <c r="F57">
        <v>70</v>
      </c>
      <c r="G57" t="s">
        <v>5017</v>
      </c>
      <c r="H57" t="s">
        <v>5018</v>
      </c>
      <c r="I57" t="s">
        <v>5027</v>
      </c>
      <c r="J57">
        <v>26949</v>
      </c>
      <c r="K57">
        <v>2</v>
      </c>
      <c r="L57" s="7">
        <v>45237</v>
      </c>
      <c r="M57" t="s">
        <v>5028</v>
      </c>
      <c r="N57">
        <v>7</v>
      </c>
      <c r="O57">
        <v>9727</v>
      </c>
    </row>
    <row r="58" spans="1:15" x14ac:dyDescent="0.3">
      <c r="A58" t="s">
        <v>967</v>
      </c>
      <c r="B58" t="s">
        <v>1967</v>
      </c>
      <c r="C58" t="s">
        <v>2967</v>
      </c>
      <c r="D58" t="s">
        <v>3967</v>
      </c>
      <c r="E58" t="s">
        <v>4967</v>
      </c>
      <c r="F58">
        <v>69</v>
      </c>
      <c r="G58" t="s">
        <v>5016</v>
      </c>
      <c r="H58" t="s">
        <v>5022</v>
      </c>
      <c r="I58" t="s">
        <v>5024</v>
      </c>
      <c r="J58">
        <v>27087</v>
      </c>
      <c r="K58">
        <v>64</v>
      </c>
      <c r="L58" s="7">
        <v>45168</v>
      </c>
      <c r="M58" t="s">
        <v>5028</v>
      </c>
      <c r="N58">
        <v>9</v>
      </c>
      <c r="O58">
        <v>6219</v>
      </c>
    </row>
    <row r="59" spans="1:15" x14ac:dyDescent="0.3">
      <c r="A59" t="s">
        <v>286</v>
      </c>
      <c r="B59" t="s">
        <v>1286</v>
      </c>
      <c r="C59" t="s">
        <v>2286</v>
      </c>
      <c r="D59" t="s">
        <v>3286</v>
      </c>
      <c r="E59" t="s">
        <v>4286</v>
      </c>
      <c r="F59">
        <v>66</v>
      </c>
      <c r="G59" t="s">
        <v>5015</v>
      </c>
      <c r="H59" t="s">
        <v>5020</v>
      </c>
      <c r="I59" t="s">
        <v>5027</v>
      </c>
      <c r="J59">
        <v>27191</v>
      </c>
      <c r="K59">
        <v>88</v>
      </c>
      <c r="L59" s="7">
        <v>45259</v>
      </c>
      <c r="M59" t="s">
        <v>5029</v>
      </c>
      <c r="N59">
        <v>5</v>
      </c>
      <c r="O59">
        <v>7985</v>
      </c>
    </row>
    <row r="60" spans="1:15" x14ac:dyDescent="0.3">
      <c r="A60" t="s">
        <v>80</v>
      </c>
      <c r="B60" t="s">
        <v>1080</v>
      </c>
      <c r="C60" t="s">
        <v>2080</v>
      </c>
      <c r="D60" t="s">
        <v>3080</v>
      </c>
      <c r="E60" t="s">
        <v>4080</v>
      </c>
      <c r="F60">
        <v>24</v>
      </c>
      <c r="G60" t="s">
        <v>5016</v>
      </c>
      <c r="H60" t="s">
        <v>5020</v>
      </c>
      <c r="I60" t="s">
        <v>5023</v>
      </c>
      <c r="J60">
        <v>27477</v>
      </c>
      <c r="K60">
        <v>42</v>
      </c>
      <c r="L60" s="7">
        <v>44938</v>
      </c>
      <c r="M60" t="s">
        <v>5030</v>
      </c>
      <c r="N60">
        <v>1</v>
      </c>
      <c r="O60">
        <v>7165</v>
      </c>
    </row>
    <row r="61" spans="1:15" x14ac:dyDescent="0.3">
      <c r="A61" t="s">
        <v>114</v>
      </c>
      <c r="B61" t="s">
        <v>1114</v>
      </c>
      <c r="C61" t="s">
        <v>2114</v>
      </c>
      <c r="D61" t="s">
        <v>3114</v>
      </c>
      <c r="E61" t="s">
        <v>4114</v>
      </c>
      <c r="F61">
        <v>41</v>
      </c>
      <c r="G61" t="s">
        <v>5015</v>
      </c>
      <c r="H61" t="s">
        <v>5022</v>
      </c>
      <c r="I61" t="s">
        <v>5025</v>
      </c>
      <c r="J61">
        <v>27550</v>
      </c>
      <c r="K61">
        <v>69</v>
      </c>
      <c r="L61" s="7">
        <v>45199</v>
      </c>
      <c r="M61" t="s">
        <v>5030</v>
      </c>
      <c r="N61">
        <v>9</v>
      </c>
      <c r="O61">
        <v>9723</v>
      </c>
    </row>
    <row r="62" spans="1:15" x14ac:dyDescent="0.3">
      <c r="A62" t="s">
        <v>880</v>
      </c>
      <c r="B62" t="s">
        <v>1880</v>
      </c>
      <c r="C62" t="s">
        <v>2880</v>
      </c>
      <c r="D62" t="s">
        <v>3880</v>
      </c>
      <c r="E62" t="s">
        <v>4880</v>
      </c>
      <c r="F62">
        <v>43</v>
      </c>
      <c r="G62" t="s">
        <v>5016</v>
      </c>
      <c r="H62" t="s">
        <v>5018</v>
      </c>
      <c r="I62" t="s">
        <v>5023</v>
      </c>
      <c r="J62">
        <v>27738</v>
      </c>
      <c r="K62">
        <v>23</v>
      </c>
      <c r="L62" s="7">
        <v>45225</v>
      </c>
      <c r="M62" t="s">
        <v>5029</v>
      </c>
      <c r="N62">
        <v>6</v>
      </c>
      <c r="O62">
        <v>4229</v>
      </c>
    </row>
    <row r="63" spans="1:15" x14ac:dyDescent="0.3">
      <c r="A63" t="s">
        <v>645</v>
      </c>
      <c r="B63" t="s">
        <v>1645</v>
      </c>
      <c r="C63" t="s">
        <v>2645</v>
      </c>
      <c r="D63" t="s">
        <v>3645</v>
      </c>
      <c r="E63" t="s">
        <v>4645</v>
      </c>
      <c r="F63">
        <v>69</v>
      </c>
      <c r="G63" t="s">
        <v>5017</v>
      </c>
      <c r="H63" t="s">
        <v>5018</v>
      </c>
      <c r="I63" t="s">
        <v>5026</v>
      </c>
      <c r="J63">
        <v>28102</v>
      </c>
      <c r="K63">
        <v>19</v>
      </c>
      <c r="L63" s="7">
        <v>45270</v>
      </c>
      <c r="M63" t="s">
        <v>5028</v>
      </c>
      <c r="N63">
        <v>2</v>
      </c>
      <c r="O63">
        <v>8860</v>
      </c>
    </row>
    <row r="64" spans="1:15" x14ac:dyDescent="0.3">
      <c r="A64" t="s">
        <v>89</v>
      </c>
      <c r="B64" t="s">
        <v>1089</v>
      </c>
      <c r="C64" t="s">
        <v>2089</v>
      </c>
      <c r="D64" t="s">
        <v>3089</v>
      </c>
      <c r="E64" t="s">
        <v>4089</v>
      </c>
      <c r="F64">
        <v>63</v>
      </c>
      <c r="G64" t="s">
        <v>5017</v>
      </c>
      <c r="H64" t="s">
        <v>5020</v>
      </c>
      <c r="I64" t="s">
        <v>5025</v>
      </c>
      <c r="J64">
        <v>28509</v>
      </c>
      <c r="K64">
        <v>32</v>
      </c>
      <c r="L64" s="7">
        <v>44985</v>
      </c>
      <c r="M64" t="s">
        <v>5030</v>
      </c>
      <c r="N64">
        <v>2</v>
      </c>
      <c r="O64">
        <v>2867</v>
      </c>
    </row>
    <row r="65" spans="1:15" x14ac:dyDescent="0.3">
      <c r="A65" t="s">
        <v>559</v>
      </c>
      <c r="B65" t="s">
        <v>1559</v>
      </c>
      <c r="C65" t="s">
        <v>2559</v>
      </c>
      <c r="D65" t="s">
        <v>3559</v>
      </c>
      <c r="E65" t="s">
        <v>4559</v>
      </c>
      <c r="F65">
        <v>23</v>
      </c>
      <c r="G65" t="s">
        <v>5015</v>
      </c>
      <c r="H65" t="s">
        <v>5018</v>
      </c>
      <c r="I65" t="s">
        <v>5027</v>
      </c>
      <c r="J65">
        <v>28620</v>
      </c>
      <c r="K65">
        <v>79</v>
      </c>
      <c r="L65" s="7">
        <v>45100</v>
      </c>
      <c r="M65" t="s">
        <v>5028</v>
      </c>
      <c r="N65">
        <v>6</v>
      </c>
      <c r="O65">
        <v>5369</v>
      </c>
    </row>
    <row r="66" spans="1:15" x14ac:dyDescent="0.3">
      <c r="A66" t="s">
        <v>305</v>
      </c>
      <c r="B66" t="s">
        <v>1305</v>
      </c>
      <c r="C66" t="s">
        <v>2305</v>
      </c>
      <c r="D66" t="s">
        <v>3305</v>
      </c>
      <c r="E66" t="s">
        <v>4305</v>
      </c>
      <c r="F66">
        <v>42</v>
      </c>
      <c r="G66" t="s">
        <v>5016</v>
      </c>
      <c r="H66" t="s">
        <v>5021</v>
      </c>
      <c r="I66" t="s">
        <v>5025</v>
      </c>
      <c r="J66">
        <v>28666</v>
      </c>
      <c r="K66">
        <v>92</v>
      </c>
      <c r="L66" s="7">
        <v>45208</v>
      </c>
      <c r="M66" t="s">
        <v>5030</v>
      </c>
      <c r="N66">
        <v>9</v>
      </c>
      <c r="O66">
        <v>4026</v>
      </c>
    </row>
    <row r="67" spans="1:15" x14ac:dyDescent="0.3">
      <c r="A67" t="s">
        <v>626</v>
      </c>
      <c r="B67" t="s">
        <v>1626</v>
      </c>
      <c r="C67" t="s">
        <v>2626</v>
      </c>
      <c r="D67" t="s">
        <v>3626</v>
      </c>
      <c r="E67" t="s">
        <v>4626</v>
      </c>
      <c r="F67">
        <v>67</v>
      </c>
      <c r="G67" t="s">
        <v>5015</v>
      </c>
      <c r="H67" t="s">
        <v>5019</v>
      </c>
      <c r="I67" t="s">
        <v>5026</v>
      </c>
      <c r="J67">
        <v>28743</v>
      </c>
      <c r="K67">
        <v>22</v>
      </c>
      <c r="L67" s="7">
        <v>44964</v>
      </c>
      <c r="M67" t="s">
        <v>5028</v>
      </c>
      <c r="N67">
        <v>2</v>
      </c>
      <c r="O67">
        <v>9668</v>
      </c>
    </row>
    <row r="68" spans="1:15" x14ac:dyDescent="0.3">
      <c r="A68" t="s">
        <v>406</v>
      </c>
      <c r="B68" t="s">
        <v>1406</v>
      </c>
      <c r="C68" t="s">
        <v>2406</v>
      </c>
      <c r="D68" t="s">
        <v>3406</v>
      </c>
      <c r="E68" t="s">
        <v>4406</v>
      </c>
      <c r="F68">
        <v>30</v>
      </c>
      <c r="G68" t="s">
        <v>5016</v>
      </c>
      <c r="H68" t="s">
        <v>5021</v>
      </c>
      <c r="I68" t="s">
        <v>5023</v>
      </c>
      <c r="J68">
        <v>28817</v>
      </c>
      <c r="K68">
        <v>14</v>
      </c>
      <c r="L68" s="7">
        <v>45242</v>
      </c>
      <c r="M68" t="s">
        <v>5030</v>
      </c>
      <c r="N68">
        <v>8</v>
      </c>
      <c r="O68">
        <v>6555</v>
      </c>
    </row>
    <row r="69" spans="1:15" x14ac:dyDescent="0.3">
      <c r="A69" t="s">
        <v>182</v>
      </c>
      <c r="B69" t="s">
        <v>1182</v>
      </c>
      <c r="C69" t="s">
        <v>2182</v>
      </c>
      <c r="D69" t="s">
        <v>3182</v>
      </c>
      <c r="E69" t="s">
        <v>4182</v>
      </c>
      <c r="F69">
        <v>32</v>
      </c>
      <c r="G69" t="s">
        <v>5015</v>
      </c>
      <c r="H69" t="s">
        <v>5020</v>
      </c>
      <c r="I69" t="s">
        <v>5027</v>
      </c>
      <c r="J69">
        <v>28985</v>
      </c>
      <c r="K69">
        <v>19</v>
      </c>
      <c r="L69" s="7">
        <v>45259</v>
      </c>
      <c r="M69" t="s">
        <v>5030</v>
      </c>
      <c r="N69">
        <v>9</v>
      </c>
      <c r="O69">
        <v>4072</v>
      </c>
    </row>
    <row r="70" spans="1:15" x14ac:dyDescent="0.3">
      <c r="A70" t="s">
        <v>708</v>
      </c>
      <c r="B70" t="s">
        <v>1708</v>
      </c>
      <c r="C70" t="s">
        <v>2708</v>
      </c>
      <c r="D70" t="s">
        <v>3708</v>
      </c>
      <c r="E70" t="s">
        <v>4708</v>
      </c>
      <c r="F70">
        <v>67</v>
      </c>
      <c r="G70" t="s">
        <v>5015</v>
      </c>
      <c r="H70" t="s">
        <v>5019</v>
      </c>
      <c r="I70" t="s">
        <v>5025</v>
      </c>
      <c r="J70">
        <v>29162</v>
      </c>
      <c r="K70">
        <v>17</v>
      </c>
      <c r="L70" s="7">
        <v>44941</v>
      </c>
      <c r="M70" t="s">
        <v>5028</v>
      </c>
      <c r="N70">
        <v>6</v>
      </c>
      <c r="O70">
        <v>8366</v>
      </c>
    </row>
    <row r="71" spans="1:15" x14ac:dyDescent="0.3">
      <c r="A71" t="s">
        <v>545</v>
      </c>
      <c r="B71" t="s">
        <v>1545</v>
      </c>
      <c r="C71" t="s">
        <v>2545</v>
      </c>
      <c r="D71" t="s">
        <v>3545</v>
      </c>
      <c r="E71" t="s">
        <v>4545</v>
      </c>
      <c r="F71">
        <v>69</v>
      </c>
      <c r="G71" t="s">
        <v>5017</v>
      </c>
      <c r="H71" t="s">
        <v>5022</v>
      </c>
      <c r="I71" t="s">
        <v>5025</v>
      </c>
      <c r="J71">
        <v>29424</v>
      </c>
      <c r="K71">
        <v>58</v>
      </c>
      <c r="L71" s="7">
        <v>45077</v>
      </c>
      <c r="M71" t="s">
        <v>5029</v>
      </c>
      <c r="N71">
        <v>6</v>
      </c>
      <c r="O71">
        <v>1769</v>
      </c>
    </row>
    <row r="72" spans="1:15" x14ac:dyDescent="0.3">
      <c r="A72" t="s">
        <v>978</v>
      </c>
      <c r="B72" t="s">
        <v>1978</v>
      </c>
      <c r="C72" t="s">
        <v>2978</v>
      </c>
      <c r="D72" t="s">
        <v>3978</v>
      </c>
      <c r="E72" t="s">
        <v>4978</v>
      </c>
      <c r="F72">
        <v>47</v>
      </c>
      <c r="G72" t="s">
        <v>5015</v>
      </c>
      <c r="H72" t="s">
        <v>5018</v>
      </c>
      <c r="I72" t="s">
        <v>5024</v>
      </c>
      <c r="J72">
        <v>29673</v>
      </c>
      <c r="K72">
        <v>66</v>
      </c>
      <c r="L72" s="7">
        <v>45137</v>
      </c>
      <c r="M72" t="s">
        <v>5028</v>
      </c>
      <c r="N72">
        <v>10</v>
      </c>
      <c r="O72">
        <v>2077</v>
      </c>
    </row>
    <row r="73" spans="1:15" x14ac:dyDescent="0.3">
      <c r="A73" t="s">
        <v>916</v>
      </c>
      <c r="B73" t="s">
        <v>1916</v>
      </c>
      <c r="C73" t="s">
        <v>2916</v>
      </c>
      <c r="D73" t="s">
        <v>3916</v>
      </c>
      <c r="E73" t="s">
        <v>4916</v>
      </c>
      <c r="F73">
        <v>61</v>
      </c>
      <c r="G73" t="s">
        <v>5017</v>
      </c>
      <c r="H73" t="s">
        <v>5022</v>
      </c>
      <c r="I73" t="s">
        <v>5025</v>
      </c>
      <c r="J73">
        <v>29729</v>
      </c>
      <c r="K73">
        <v>4</v>
      </c>
      <c r="L73" s="7">
        <v>45026</v>
      </c>
      <c r="M73" t="s">
        <v>5028</v>
      </c>
      <c r="N73">
        <v>1</v>
      </c>
      <c r="O73">
        <v>4051</v>
      </c>
    </row>
    <row r="74" spans="1:15" x14ac:dyDescent="0.3">
      <c r="A74" t="s">
        <v>130</v>
      </c>
      <c r="B74" t="s">
        <v>1130</v>
      </c>
      <c r="C74" t="s">
        <v>2130</v>
      </c>
      <c r="D74" t="s">
        <v>3130</v>
      </c>
      <c r="E74" t="s">
        <v>4130</v>
      </c>
      <c r="F74">
        <v>65</v>
      </c>
      <c r="G74" t="s">
        <v>5017</v>
      </c>
      <c r="H74" t="s">
        <v>5019</v>
      </c>
      <c r="I74" t="s">
        <v>5024</v>
      </c>
      <c r="J74">
        <v>29817</v>
      </c>
      <c r="K74">
        <v>52</v>
      </c>
      <c r="L74" s="7">
        <v>45037</v>
      </c>
      <c r="M74" t="s">
        <v>5028</v>
      </c>
      <c r="N74">
        <v>9</v>
      </c>
      <c r="O74">
        <v>5425</v>
      </c>
    </row>
    <row r="75" spans="1:15" x14ac:dyDescent="0.3">
      <c r="A75" t="s">
        <v>761</v>
      </c>
      <c r="B75" t="s">
        <v>1761</v>
      </c>
      <c r="C75" t="s">
        <v>2761</v>
      </c>
      <c r="D75" t="s">
        <v>3761</v>
      </c>
      <c r="E75" t="s">
        <v>4761</v>
      </c>
      <c r="F75">
        <v>24</v>
      </c>
      <c r="G75" t="s">
        <v>5016</v>
      </c>
      <c r="H75" t="s">
        <v>5020</v>
      </c>
      <c r="I75" t="s">
        <v>5025</v>
      </c>
      <c r="J75">
        <v>29861</v>
      </c>
      <c r="K75">
        <v>49</v>
      </c>
      <c r="L75" s="7">
        <v>45285</v>
      </c>
      <c r="M75" t="s">
        <v>5030</v>
      </c>
      <c r="N75">
        <v>9</v>
      </c>
      <c r="O75">
        <v>4439</v>
      </c>
    </row>
    <row r="76" spans="1:15" x14ac:dyDescent="0.3">
      <c r="A76" t="s">
        <v>193</v>
      </c>
      <c r="B76" t="s">
        <v>1193</v>
      </c>
      <c r="C76" t="s">
        <v>2193</v>
      </c>
      <c r="D76" t="s">
        <v>3193</v>
      </c>
      <c r="E76" t="s">
        <v>4193</v>
      </c>
      <c r="F76">
        <v>41</v>
      </c>
      <c r="G76" t="s">
        <v>5016</v>
      </c>
      <c r="H76" t="s">
        <v>5021</v>
      </c>
      <c r="I76" t="s">
        <v>5026</v>
      </c>
      <c r="J76">
        <v>29984</v>
      </c>
      <c r="K76">
        <v>56</v>
      </c>
      <c r="L76" s="7">
        <v>45284</v>
      </c>
      <c r="M76" t="s">
        <v>5030</v>
      </c>
      <c r="N76">
        <v>6</v>
      </c>
      <c r="O76">
        <v>6986</v>
      </c>
    </row>
    <row r="77" spans="1:15" x14ac:dyDescent="0.3">
      <c r="A77" t="s">
        <v>961</v>
      </c>
      <c r="B77" t="s">
        <v>1961</v>
      </c>
      <c r="C77" t="s">
        <v>2961</v>
      </c>
      <c r="D77" t="s">
        <v>3961</v>
      </c>
      <c r="E77" t="s">
        <v>4961</v>
      </c>
      <c r="F77">
        <v>42</v>
      </c>
      <c r="G77" t="s">
        <v>5016</v>
      </c>
      <c r="H77" t="s">
        <v>5018</v>
      </c>
      <c r="I77" t="s">
        <v>5027</v>
      </c>
      <c r="J77">
        <v>30100</v>
      </c>
      <c r="K77">
        <v>11</v>
      </c>
      <c r="L77" s="7">
        <v>44961</v>
      </c>
      <c r="M77" t="s">
        <v>5030</v>
      </c>
      <c r="N77">
        <v>7</v>
      </c>
      <c r="O77">
        <v>1891</v>
      </c>
    </row>
    <row r="78" spans="1:15" x14ac:dyDescent="0.3">
      <c r="A78" t="s">
        <v>127</v>
      </c>
      <c r="B78" t="s">
        <v>1127</v>
      </c>
      <c r="C78" t="s">
        <v>2127</v>
      </c>
      <c r="D78" t="s">
        <v>3127</v>
      </c>
      <c r="E78" t="s">
        <v>4127</v>
      </c>
      <c r="F78">
        <v>36</v>
      </c>
      <c r="G78" t="s">
        <v>5016</v>
      </c>
      <c r="H78" t="s">
        <v>5020</v>
      </c>
      <c r="I78" t="s">
        <v>5023</v>
      </c>
      <c r="J78">
        <v>30180</v>
      </c>
      <c r="K78">
        <v>1</v>
      </c>
      <c r="L78" s="7">
        <v>45080</v>
      </c>
      <c r="M78" t="s">
        <v>5028</v>
      </c>
      <c r="N78">
        <v>2</v>
      </c>
      <c r="O78">
        <v>5865</v>
      </c>
    </row>
    <row r="79" spans="1:15" x14ac:dyDescent="0.3">
      <c r="A79" t="s">
        <v>20</v>
      </c>
      <c r="B79" t="s">
        <v>1020</v>
      </c>
      <c r="C79" t="s">
        <v>2020</v>
      </c>
      <c r="D79" t="s">
        <v>3020</v>
      </c>
      <c r="E79" t="s">
        <v>4020</v>
      </c>
      <c r="F79">
        <v>61</v>
      </c>
      <c r="G79" t="s">
        <v>5015</v>
      </c>
      <c r="H79" t="s">
        <v>5022</v>
      </c>
      <c r="I79" t="s">
        <v>5023</v>
      </c>
      <c r="J79">
        <v>30383</v>
      </c>
      <c r="K79">
        <v>21</v>
      </c>
      <c r="L79" s="7">
        <v>45213</v>
      </c>
      <c r="M79" t="s">
        <v>5029</v>
      </c>
      <c r="N79">
        <v>2</v>
      </c>
      <c r="O79">
        <v>7070</v>
      </c>
    </row>
    <row r="80" spans="1:15" x14ac:dyDescent="0.3">
      <c r="A80" t="s">
        <v>31</v>
      </c>
      <c r="B80" t="s">
        <v>1031</v>
      </c>
      <c r="C80" t="s">
        <v>2031</v>
      </c>
      <c r="D80" t="s">
        <v>3031</v>
      </c>
      <c r="E80" t="s">
        <v>4031</v>
      </c>
      <c r="F80">
        <v>54</v>
      </c>
      <c r="G80" t="s">
        <v>5017</v>
      </c>
      <c r="H80" t="s">
        <v>5021</v>
      </c>
      <c r="I80" t="s">
        <v>5025</v>
      </c>
      <c r="J80">
        <v>30642</v>
      </c>
      <c r="K80">
        <v>91</v>
      </c>
      <c r="L80" s="7">
        <v>45191</v>
      </c>
      <c r="M80" t="s">
        <v>5028</v>
      </c>
      <c r="N80">
        <v>5</v>
      </c>
      <c r="O80">
        <v>8281</v>
      </c>
    </row>
    <row r="81" spans="1:15" x14ac:dyDescent="0.3">
      <c r="A81" t="s">
        <v>124</v>
      </c>
      <c r="B81" t="s">
        <v>1124</v>
      </c>
      <c r="C81" t="s">
        <v>2124</v>
      </c>
      <c r="D81" t="s">
        <v>3124</v>
      </c>
      <c r="E81" t="s">
        <v>4124</v>
      </c>
      <c r="F81">
        <v>68</v>
      </c>
      <c r="G81" t="s">
        <v>5017</v>
      </c>
      <c r="H81" t="s">
        <v>5022</v>
      </c>
      <c r="I81" t="s">
        <v>5026</v>
      </c>
      <c r="J81">
        <v>30817</v>
      </c>
      <c r="K81">
        <v>93</v>
      </c>
      <c r="L81" s="7">
        <v>44948</v>
      </c>
      <c r="M81" t="s">
        <v>5028</v>
      </c>
      <c r="N81">
        <v>5</v>
      </c>
      <c r="O81">
        <v>3330</v>
      </c>
    </row>
    <row r="82" spans="1:15" x14ac:dyDescent="0.3">
      <c r="A82" t="s">
        <v>19</v>
      </c>
      <c r="B82" t="s">
        <v>1019</v>
      </c>
      <c r="C82" t="s">
        <v>2019</v>
      </c>
      <c r="D82" t="s">
        <v>3019</v>
      </c>
      <c r="E82" t="s">
        <v>4019</v>
      </c>
      <c r="F82">
        <v>47</v>
      </c>
      <c r="G82" t="s">
        <v>5017</v>
      </c>
      <c r="H82" t="s">
        <v>5022</v>
      </c>
      <c r="I82" t="s">
        <v>5025</v>
      </c>
      <c r="J82">
        <v>31060</v>
      </c>
      <c r="K82">
        <v>89</v>
      </c>
      <c r="L82" s="7">
        <v>45032</v>
      </c>
      <c r="M82" t="s">
        <v>5028</v>
      </c>
      <c r="N82">
        <v>4</v>
      </c>
      <c r="O82">
        <v>1992</v>
      </c>
    </row>
    <row r="83" spans="1:15" x14ac:dyDescent="0.3">
      <c r="A83" t="s">
        <v>263</v>
      </c>
      <c r="B83" t="s">
        <v>1263</v>
      </c>
      <c r="C83" t="s">
        <v>2263</v>
      </c>
      <c r="D83" t="s">
        <v>3263</v>
      </c>
      <c r="E83" t="s">
        <v>4263</v>
      </c>
      <c r="F83">
        <v>68</v>
      </c>
      <c r="G83" t="s">
        <v>5015</v>
      </c>
      <c r="H83" t="s">
        <v>5019</v>
      </c>
      <c r="I83" t="s">
        <v>5024</v>
      </c>
      <c r="J83">
        <v>31103</v>
      </c>
      <c r="K83">
        <v>40</v>
      </c>
      <c r="L83" s="7">
        <v>45142</v>
      </c>
      <c r="M83" t="s">
        <v>5029</v>
      </c>
      <c r="N83">
        <v>6</v>
      </c>
      <c r="O83">
        <v>1195</v>
      </c>
    </row>
    <row r="84" spans="1:15" x14ac:dyDescent="0.3">
      <c r="A84" t="s">
        <v>955</v>
      </c>
      <c r="B84" t="s">
        <v>1955</v>
      </c>
      <c r="C84" t="s">
        <v>2955</v>
      </c>
      <c r="D84" t="s">
        <v>3955</v>
      </c>
      <c r="E84" t="s">
        <v>4955</v>
      </c>
      <c r="F84">
        <v>32</v>
      </c>
      <c r="G84" t="s">
        <v>5015</v>
      </c>
      <c r="H84" t="s">
        <v>5020</v>
      </c>
      <c r="I84" t="s">
        <v>5027</v>
      </c>
      <c r="J84">
        <v>31214</v>
      </c>
      <c r="K84">
        <v>52</v>
      </c>
      <c r="L84" s="7">
        <v>45081</v>
      </c>
      <c r="M84" t="s">
        <v>5030</v>
      </c>
      <c r="N84">
        <v>10</v>
      </c>
      <c r="O84">
        <v>1303</v>
      </c>
    </row>
    <row r="85" spans="1:15" x14ac:dyDescent="0.3">
      <c r="A85" t="s">
        <v>407</v>
      </c>
      <c r="B85" t="s">
        <v>1407</v>
      </c>
      <c r="C85" t="s">
        <v>2407</v>
      </c>
      <c r="D85" t="s">
        <v>3407</v>
      </c>
      <c r="E85" t="s">
        <v>4407</v>
      </c>
      <c r="F85">
        <v>43</v>
      </c>
      <c r="G85" t="s">
        <v>5015</v>
      </c>
      <c r="H85" t="s">
        <v>5020</v>
      </c>
      <c r="I85" t="s">
        <v>5027</v>
      </c>
      <c r="J85">
        <v>31305</v>
      </c>
      <c r="K85">
        <v>68</v>
      </c>
      <c r="L85" s="7">
        <v>45058</v>
      </c>
      <c r="M85" t="s">
        <v>5030</v>
      </c>
      <c r="N85">
        <v>7</v>
      </c>
      <c r="O85">
        <v>1482</v>
      </c>
    </row>
    <row r="86" spans="1:15" x14ac:dyDescent="0.3">
      <c r="A86" t="s">
        <v>445</v>
      </c>
      <c r="B86" t="s">
        <v>1445</v>
      </c>
      <c r="C86" t="s">
        <v>2445</v>
      </c>
      <c r="D86" t="s">
        <v>3445</v>
      </c>
      <c r="E86" t="s">
        <v>4445</v>
      </c>
      <c r="F86">
        <v>67</v>
      </c>
      <c r="G86" t="s">
        <v>5015</v>
      </c>
      <c r="H86" t="s">
        <v>5022</v>
      </c>
      <c r="I86" t="s">
        <v>5027</v>
      </c>
      <c r="J86">
        <v>31386</v>
      </c>
      <c r="K86">
        <v>45</v>
      </c>
      <c r="L86" s="7">
        <v>45085</v>
      </c>
      <c r="M86" t="s">
        <v>5028</v>
      </c>
      <c r="N86">
        <v>7</v>
      </c>
      <c r="O86">
        <v>8720</v>
      </c>
    </row>
    <row r="87" spans="1:15" x14ac:dyDescent="0.3">
      <c r="A87" t="s">
        <v>870</v>
      </c>
      <c r="B87" t="s">
        <v>1870</v>
      </c>
      <c r="C87" t="s">
        <v>2870</v>
      </c>
      <c r="D87" t="s">
        <v>3870</v>
      </c>
      <c r="E87" t="s">
        <v>4870</v>
      </c>
      <c r="F87">
        <v>46</v>
      </c>
      <c r="G87" t="s">
        <v>5015</v>
      </c>
      <c r="H87" t="s">
        <v>5019</v>
      </c>
      <c r="I87" t="s">
        <v>5027</v>
      </c>
      <c r="J87">
        <v>31401</v>
      </c>
      <c r="K87">
        <v>59</v>
      </c>
      <c r="L87" s="7">
        <v>44928</v>
      </c>
      <c r="M87" t="s">
        <v>5029</v>
      </c>
      <c r="N87">
        <v>3</v>
      </c>
      <c r="O87">
        <v>384</v>
      </c>
    </row>
    <row r="88" spans="1:15" x14ac:dyDescent="0.3">
      <c r="A88" t="s">
        <v>843</v>
      </c>
      <c r="B88" t="s">
        <v>1843</v>
      </c>
      <c r="C88" t="s">
        <v>2843</v>
      </c>
      <c r="D88" t="s">
        <v>3843</v>
      </c>
      <c r="E88" t="s">
        <v>4843</v>
      </c>
      <c r="F88">
        <v>30</v>
      </c>
      <c r="G88" t="s">
        <v>5015</v>
      </c>
      <c r="H88" t="s">
        <v>5018</v>
      </c>
      <c r="I88" t="s">
        <v>5023</v>
      </c>
      <c r="J88">
        <v>31570</v>
      </c>
      <c r="K88">
        <v>1</v>
      </c>
      <c r="L88" s="7">
        <v>45180</v>
      </c>
      <c r="M88" t="s">
        <v>5029</v>
      </c>
      <c r="N88">
        <v>2</v>
      </c>
      <c r="O88">
        <v>9225</v>
      </c>
    </row>
    <row r="89" spans="1:15" x14ac:dyDescent="0.3">
      <c r="A89" t="s">
        <v>198</v>
      </c>
      <c r="B89" t="s">
        <v>1198</v>
      </c>
      <c r="C89" t="s">
        <v>2198</v>
      </c>
      <c r="D89" t="s">
        <v>3198</v>
      </c>
      <c r="E89" t="s">
        <v>4198</v>
      </c>
      <c r="F89">
        <v>49</v>
      </c>
      <c r="G89" t="s">
        <v>5015</v>
      </c>
      <c r="H89" t="s">
        <v>5022</v>
      </c>
      <c r="I89" t="s">
        <v>5027</v>
      </c>
      <c r="J89">
        <v>31580</v>
      </c>
      <c r="K89">
        <v>41</v>
      </c>
      <c r="L89" s="7">
        <v>45266</v>
      </c>
      <c r="M89" t="s">
        <v>5029</v>
      </c>
      <c r="N89">
        <v>1</v>
      </c>
      <c r="O89">
        <v>4807</v>
      </c>
    </row>
    <row r="90" spans="1:15" x14ac:dyDescent="0.3">
      <c r="A90" t="s">
        <v>922</v>
      </c>
      <c r="B90" t="s">
        <v>1922</v>
      </c>
      <c r="C90" t="s">
        <v>2922</v>
      </c>
      <c r="D90" t="s">
        <v>3922</v>
      </c>
      <c r="E90" t="s">
        <v>4922</v>
      </c>
      <c r="F90">
        <v>19</v>
      </c>
      <c r="G90" t="s">
        <v>5017</v>
      </c>
      <c r="H90" t="s">
        <v>5020</v>
      </c>
      <c r="I90" t="s">
        <v>5023</v>
      </c>
      <c r="J90">
        <v>31792</v>
      </c>
      <c r="K90">
        <v>25</v>
      </c>
      <c r="L90" s="7">
        <v>45263</v>
      </c>
      <c r="M90" t="s">
        <v>5030</v>
      </c>
      <c r="N90">
        <v>1</v>
      </c>
      <c r="O90">
        <v>4913</v>
      </c>
    </row>
    <row r="91" spans="1:15" x14ac:dyDescent="0.3">
      <c r="A91" t="s">
        <v>594</v>
      </c>
      <c r="B91" t="s">
        <v>1594</v>
      </c>
      <c r="C91" t="s">
        <v>2594</v>
      </c>
      <c r="D91" t="s">
        <v>3594</v>
      </c>
      <c r="E91" t="s">
        <v>4594</v>
      </c>
      <c r="F91">
        <v>42</v>
      </c>
      <c r="G91" t="s">
        <v>5015</v>
      </c>
      <c r="H91" t="s">
        <v>5022</v>
      </c>
      <c r="I91" t="s">
        <v>5023</v>
      </c>
      <c r="J91">
        <v>31821</v>
      </c>
      <c r="K91">
        <v>73</v>
      </c>
      <c r="L91" s="7">
        <v>45151</v>
      </c>
      <c r="M91" t="s">
        <v>5028</v>
      </c>
      <c r="N91">
        <v>1</v>
      </c>
      <c r="O91">
        <v>4236</v>
      </c>
    </row>
    <row r="92" spans="1:15" x14ac:dyDescent="0.3">
      <c r="A92" t="s">
        <v>786</v>
      </c>
      <c r="B92" t="s">
        <v>1786</v>
      </c>
      <c r="C92" t="s">
        <v>2786</v>
      </c>
      <c r="D92" t="s">
        <v>3786</v>
      </c>
      <c r="E92" t="s">
        <v>4786</v>
      </c>
      <c r="F92">
        <v>67</v>
      </c>
      <c r="G92" t="s">
        <v>5017</v>
      </c>
      <c r="H92" t="s">
        <v>5020</v>
      </c>
      <c r="I92" t="s">
        <v>5025</v>
      </c>
      <c r="J92">
        <v>31903</v>
      </c>
      <c r="K92">
        <v>54</v>
      </c>
      <c r="L92" s="7">
        <v>45072</v>
      </c>
      <c r="M92" t="s">
        <v>5030</v>
      </c>
      <c r="N92">
        <v>2</v>
      </c>
      <c r="O92">
        <v>6390</v>
      </c>
    </row>
    <row r="93" spans="1:15" x14ac:dyDescent="0.3">
      <c r="A93" t="s">
        <v>467</v>
      </c>
      <c r="B93" t="s">
        <v>1467</v>
      </c>
      <c r="C93" t="s">
        <v>2467</v>
      </c>
      <c r="D93" t="s">
        <v>3467</v>
      </c>
      <c r="E93" t="s">
        <v>4467</v>
      </c>
      <c r="F93">
        <v>32</v>
      </c>
      <c r="G93" t="s">
        <v>5016</v>
      </c>
      <c r="H93" t="s">
        <v>5021</v>
      </c>
      <c r="I93" t="s">
        <v>5026</v>
      </c>
      <c r="J93">
        <v>32177</v>
      </c>
      <c r="K93">
        <v>53</v>
      </c>
      <c r="L93" s="7">
        <v>45245</v>
      </c>
      <c r="M93" t="s">
        <v>5030</v>
      </c>
      <c r="N93">
        <v>8</v>
      </c>
      <c r="O93">
        <v>7770</v>
      </c>
    </row>
    <row r="94" spans="1:15" x14ac:dyDescent="0.3">
      <c r="A94" t="s">
        <v>460</v>
      </c>
      <c r="B94" t="s">
        <v>1460</v>
      </c>
      <c r="C94" t="s">
        <v>2460</v>
      </c>
      <c r="D94" t="s">
        <v>3460</v>
      </c>
      <c r="E94" t="s">
        <v>4460</v>
      </c>
      <c r="F94">
        <v>29</v>
      </c>
      <c r="G94" t="s">
        <v>5017</v>
      </c>
      <c r="H94" t="s">
        <v>5022</v>
      </c>
      <c r="I94" t="s">
        <v>5026</v>
      </c>
      <c r="J94">
        <v>32266</v>
      </c>
      <c r="K94">
        <v>23</v>
      </c>
      <c r="L94" s="7">
        <v>45069</v>
      </c>
      <c r="M94" t="s">
        <v>5030</v>
      </c>
      <c r="N94">
        <v>8</v>
      </c>
      <c r="O94">
        <v>2058</v>
      </c>
    </row>
    <row r="95" spans="1:15" x14ac:dyDescent="0.3">
      <c r="A95" t="s">
        <v>115</v>
      </c>
      <c r="B95" t="s">
        <v>1115</v>
      </c>
      <c r="C95" t="s">
        <v>2115</v>
      </c>
      <c r="D95" t="s">
        <v>3115</v>
      </c>
      <c r="E95" t="s">
        <v>4115</v>
      </c>
      <c r="F95">
        <v>47</v>
      </c>
      <c r="G95" t="s">
        <v>5017</v>
      </c>
      <c r="H95" t="s">
        <v>5020</v>
      </c>
      <c r="I95" t="s">
        <v>5025</v>
      </c>
      <c r="J95">
        <v>32412</v>
      </c>
      <c r="K95">
        <v>98</v>
      </c>
      <c r="L95" s="7">
        <v>45064</v>
      </c>
      <c r="M95" t="s">
        <v>5030</v>
      </c>
      <c r="N95">
        <v>5</v>
      </c>
      <c r="O95">
        <v>2652</v>
      </c>
    </row>
    <row r="96" spans="1:15" x14ac:dyDescent="0.3">
      <c r="A96" t="s">
        <v>816</v>
      </c>
      <c r="B96" t="s">
        <v>1816</v>
      </c>
      <c r="C96" t="s">
        <v>2816</v>
      </c>
      <c r="D96" t="s">
        <v>3816</v>
      </c>
      <c r="E96" t="s">
        <v>4816</v>
      </c>
      <c r="F96">
        <v>30</v>
      </c>
      <c r="G96" t="s">
        <v>5016</v>
      </c>
      <c r="H96" t="s">
        <v>5020</v>
      </c>
      <c r="I96" t="s">
        <v>5027</v>
      </c>
      <c r="J96">
        <v>32556</v>
      </c>
      <c r="K96">
        <v>31</v>
      </c>
      <c r="L96" s="7">
        <v>44950</v>
      </c>
      <c r="M96" t="s">
        <v>5028</v>
      </c>
      <c r="N96">
        <v>10</v>
      </c>
      <c r="O96">
        <v>8819</v>
      </c>
    </row>
    <row r="97" spans="1:15" x14ac:dyDescent="0.3">
      <c r="A97" t="s">
        <v>907</v>
      </c>
      <c r="B97" t="s">
        <v>1907</v>
      </c>
      <c r="C97" t="s">
        <v>2907</v>
      </c>
      <c r="D97" t="s">
        <v>3907</v>
      </c>
      <c r="E97" t="s">
        <v>4907</v>
      </c>
      <c r="F97">
        <v>36</v>
      </c>
      <c r="G97" t="s">
        <v>5015</v>
      </c>
      <c r="H97" t="s">
        <v>5022</v>
      </c>
      <c r="I97" t="s">
        <v>5027</v>
      </c>
      <c r="J97">
        <v>32761</v>
      </c>
      <c r="K97">
        <v>90</v>
      </c>
      <c r="L97" s="7">
        <v>44993</v>
      </c>
      <c r="M97" t="s">
        <v>5030</v>
      </c>
      <c r="N97">
        <v>3</v>
      </c>
      <c r="O97">
        <v>233</v>
      </c>
    </row>
    <row r="98" spans="1:15" x14ac:dyDescent="0.3">
      <c r="A98" t="s">
        <v>51</v>
      </c>
      <c r="B98" t="s">
        <v>1051</v>
      </c>
      <c r="C98" t="s">
        <v>2051</v>
      </c>
      <c r="D98" t="s">
        <v>3051</v>
      </c>
      <c r="E98" t="s">
        <v>4051</v>
      </c>
      <c r="F98">
        <v>59</v>
      </c>
      <c r="G98" t="s">
        <v>5015</v>
      </c>
      <c r="H98" t="s">
        <v>5018</v>
      </c>
      <c r="I98" t="s">
        <v>5026</v>
      </c>
      <c r="J98">
        <v>32786</v>
      </c>
      <c r="K98">
        <v>10</v>
      </c>
      <c r="L98" s="7">
        <v>44966</v>
      </c>
      <c r="M98" t="s">
        <v>5028</v>
      </c>
      <c r="N98">
        <v>6</v>
      </c>
      <c r="O98">
        <v>6234</v>
      </c>
    </row>
    <row r="99" spans="1:15" x14ac:dyDescent="0.3">
      <c r="A99" t="s">
        <v>845</v>
      </c>
      <c r="B99" t="s">
        <v>1845</v>
      </c>
      <c r="C99" t="s">
        <v>2845</v>
      </c>
      <c r="D99" t="s">
        <v>3845</v>
      </c>
      <c r="E99" t="s">
        <v>4845</v>
      </c>
      <c r="F99">
        <v>41</v>
      </c>
      <c r="G99" t="s">
        <v>5015</v>
      </c>
      <c r="H99" t="s">
        <v>5021</v>
      </c>
      <c r="I99" t="s">
        <v>5026</v>
      </c>
      <c r="J99">
        <v>32853</v>
      </c>
      <c r="K99">
        <v>29</v>
      </c>
      <c r="L99" s="7">
        <v>45281</v>
      </c>
      <c r="M99" t="s">
        <v>5029</v>
      </c>
      <c r="N99">
        <v>6</v>
      </c>
      <c r="O99">
        <v>5100</v>
      </c>
    </row>
    <row r="100" spans="1:15" x14ac:dyDescent="0.3">
      <c r="A100" t="s">
        <v>662</v>
      </c>
      <c r="B100" t="s">
        <v>1662</v>
      </c>
      <c r="C100" t="s">
        <v>2662</v>
      </c>
      <c r="D100" t="s">
        <v>3662</v>
      </c>
      <c r="E100" t="s">
        <v>4662</v>
      </c>
      <c r="F100">
        <v>34</v>
      </c>
      <c r="G100" t="s">
        <v>5016</v>
      </c>
      <c r="H100" t="s">
        <v>5018</v>
      </c>
      <c r="I100" t="s">
        <v>5026</v>
      </c>
      <c r="J100">
        <v>33058</v>
      </c>
      <c r="K100">
        <v>28</v>
      </c>
      <c r="L100" s="7">
        <v>45078</v>
      </c>
      <c r="M100" t="s">
        <v>5029</v>
      </c>
      <c r="N100">
        <v>4</v>
      </c>
      <c r="O100">
        <v>6041</v>
      </c>
    </row>
    <row r="101" spans="1:15" x14ac:dyDescent="0.3">
      <c r="A101" t="s">
        <v>766</v>
      </c>
      <c r="B101" t="s">
        <v>1766</v>
      </c>
      <c r="C101" t="s">
        <v>2766</v>
      </c>
      <c r="D101" t="s">
        <v>3766</v>
      </c>
      <c r="E101" t="s">
        <v>4766</v>
      </c>
      <c r="F101">
        <v>65</v>
      </c>
      <c r="G101" t="s">
        <v>5017</v>
      </c>
      <c r="H101" t="s">
        <v>5021</v>
      </c>
      <c r="I101" t="s">
        <v>5023</v>
      </c>
      <c r="J101">
        <v>33065</v>
      </c>
      <c r="K101">
        <v>7</v>
      </c>
      <c r="L101" s="7">
        <v>45270</v>
      </c>
      <c r="M101" t="s">
        <v>5028</v>
      </c>
      <c r="N101">
        <v>1</v>
      </c>
      <c r="O101">
        <v>4237</v>
      </c>
    </row>
    <row r="102" spans="1:15" x14ac:dyDescent="0.3">
      <c r="A102" t="s">
        <v>208</v>
      </c>
      <c r="B102" t="s">
        <v>1208</v>
      </c>
      <c r="C102" t="s">
        <v>2208</v>
      </c>
      <c r="D102" t="s">
        <v>3208</v>
      </c>
      <c r="E102" t="s">
        <v>4208</v>
      </c>
      <c r="F102">
        <v>36</v>
      </c>
      <c r="G102" t="s">
        <v>5016</v>
      </c>
      <c r="H102" t="s">
        <v>5020</v>
      </c>
      <c r="I102" t="s">
        <v>5024</v>
      </c>
      <c r="J102">
        <v>33085</v>
      </c>
      <c r="K102">
        <v>54</v>
      </c>
      <c r="L102" s="7">
        <v>45226</v>
      </c>
      <c r="M102" t="s">
        <v>5030</v>
      </c>
      <c r="N102">
        <v>4</v>
      </c>
      <c r="O102">
        <v>8499</v>
      </c>
    </row>
    <row r="103" spans="1:15" x14ac:dyDescent="0.3">
      <c r="A103" t="s">
        <v>947</v>
      </c>
      <c r="B103" t="s">
        <v>1947</v>
      </c>
      <c r="C103" t="s">
        <v>2947</v>
      </c>
      <c r="D103" t="s">
        <v>3947</v>
      </c>
      <c r="E103" t="s">
        <v>4947</v>
      </c>
      <c r="F103">
        <v>45</v>
      </c>
      <c r="G103" t="s">
        <v>5015</v>
      </c>
      <c r="H103" t="s">
        <v>5019</v>
      </c>
      <c r="I103" t="s">
        <v>5023</v>
      </c>
      <c r="J103">
        <v>33413</v>
      </c>
      <c r="K103">
        <v>39</v>
      </c>
      <c r="L103" s="7">
        <v>45276</v>
      </c>
      <c r="M103" t="s">
        <v>5030</v>
      </c>
      <c r="N103">
        <v>7</v>
      </c>
      <c r="O103">
        <v>6507</v>
      </c>
    </row>
    <row r="104" spans="1:15" x14ac:dyDescent="0.3">
      <c r="A104" t="s">
        <v>303</v>
      </c>
      <c r="B104" t="s">
        <v>1303</v>
      </c>
      <c r="C104" t="s">
        <v>2303</v>
      </c>
      <c r="D104" t="s">
        <v>3303</v>
      </c>
      <c r="E104" t="s">
        <v>4303</v>
      </c>
      <c r="F104">
        <v>54</v>
      </c>
      <c r="G104" t="s">
        <v>5017</v>
      </c>
      <c r="H104" t="s">
        <v>5019</v>
      </c>
      <c r="I104" t="s">
        <v>5024</v>
      </c>
      <c r="J104">
        <v>33755</v>
      </c>
      <c r="K104">
        <v>31</v>
      </c>
      <c r="L104" s="7">
        <v>45127</v>
      </c>
      <c r="M104" t="s">
        <v>5029</v>
      </c>
      <c r="N104">
        <v>2</v>
      </c>
      <c r="O104">
        <v>1881</v>
      </c>
    </row>
    <row r="105" spans="1:15" x14ac:dyDescent="0.3">
      <c r="A105" t="s">
        <v>440</v>
      </c>
      <c r="B105" t="s">
        <v>1440</v>
      </c>
      <c r="C105" t="s">
        <v>2440</v>
      </c>
      <c r="D105" t="s">
        <v>3440</v>
      </c>
      <c r="E105" t="s">
        <v>4440</v>
      </c>
      <c r="F105">
        <v>49</v>
      </c>
      <c r="G105" t="s">
        <v>5016</v>
      </c>
      <c r="H105" t="s">
        <v>5020</v>
      </c>
      <c r="I105" t="s">
        <v>5025</v>
      </c>
      <c r="J105">
        <v>33872</v>
      </c>
      <c r="K105">
        <v>11</v>
      </c>
      <c r="L105" s="7">
        <v>44951</v>
      </c>
      <c r="M105" t="s">
        <v>5028</v>
      </c>
      <c r="N105">
        <v>9</v>
      </c>
      <c r="O105">
        <v>7090</v>
      </c>
    </row>
    <row r="106" spans="1:15" x14ac:dyDescent="0.3">
      <c r="A106" t="s">
        <v>349</v>
      </c>
      <c r="B106" t="s">
        <v>1349</v>
      </c>
      <c r="C106" t="s">
        <v>2349</v>
      </c>
      <c r="D106" t="s">
        <v>3349</v>
      </c>
      <c r="E106" t="s">
        <v>4349</v>
      </c>
      <c r="F106">
        <v>38</v>
      </c>
      <c r="G106" t="s">
        <v>5016</v>
      </c>
      <c r="H106" t="s">
        <v>5019</v>
      </c>
      <c r="I106" t="s">
        <v>5025</v>
      </c>
      <c r="J106">
        <v>33927</v>
      </c>
      <c r="K106">
        <v>17</v>
      </c>
      <c r="L106" s="7">
        <v>45132</v>
      </c>
      <c r="M106" t="s">
        <v>5029</v>
      </c>
      <c r="N106">
        <v>6</v>
      </c>
      <c r="O106">
        <v>2407</v>
      </c>
    </row>
    <row r="107" spans="1:15" x14ac:dyDescent="0.3">
      <c r="A107" t="s">
        <v>892</v>
      </c>
      <c r="B107" t="s">
        <v>1892</v>
      </c>
      <c r="C107" t="s">
        <v>2892</v>
      </c>
      <c r="D107" t="s">
        <v>3892</v>
      </c>
      <c r="E107" t="s">
        <v>4892</v>
      </c>
      <c r="F107">
        <v>18</v>
      </c>
      <c r="G107" t="s">
        <v>5017</v>
      </c>
      <c r="H107" t="s">
        <v>5018</v>
      </c>
      <c r="I107" t="s">
        <v>5027</v>
      </c>
      <c r="J107">
        <v>34090</v>
      </c>
      <c r="K107">
        <v>23</v>
      </c>
      <c r="L107" s="7">
        <v>45145</v>
      </c>
      <c r="M107" t="s">
        <v>5029</v>
      </c>
      <c r="N107">
        <v>9</v>
      </c>
      <c r="O107">
        <v>9806</v>
      </c>
    </row>
    <row r="108" spans="1:15" x14ac:dyDescent="0.3">
      <c r="A108" t="s">
        <v>561</v>
      </c>
      <c r="B108" t="s">
        <v>1561</v>
      </c>
      <c r="C108" t="s">
        <v>2561</v>
      </c>
      <c r="D108" t="s">
        <v>3561</v>
      </c>
      <c r="E108" t="s">
        <v>4561</v>
      </c>
      <c r="F108">
        <v>49</v>
      </c>
      <c r="G108" t="s">
        <v>5016</v>
      </c>
      <c r="H108" t="s">
        <v>5022</v>
      </c>
      <c r="I108" t="s">
        <v>5023</v>
      </c>
      <c r="J108">
        <v>34200</v>
      </c>
      <c r="K108">
        <v>61</v>
      </c>
      <c r="L108" s="7">
        <v>45182</v>
      </c>
      <c r="M108" t="s">
        <v>5028</v>
      </c>
      <c r="N108">
        <v>6</v>
      </c>
      <c r="O108">
        <v>8461</v>
      </c>
    </row>
    <row r="109" spans="1:15" x14ac:dyDescent="0.3">
      <c r="A109" t="s">
        <v>294</v>
      </c>
      <c r="B109" t="s">
        <v>1294</v>
      </c>
      <c r="C109" t="s">
        <v>2294</v>
      </c>
      <c r="D109" t="s">
        <v>3294</v>
      </c>
      <c r="E109" t="s">
        <v>4294</v>
      </c>
      <c r="F109">
        <v>23</v>
      </c>
      <c r="G109" t="s">
        <v>5016</v>
      </c>
      <c r="H109" t="s">
        <v>5019</v>
      </c>
      <c r="I109" t="s">
        <v>5027</v>
      </c>
      <c r="J109">
        <v>34299</v>
      </c>
      <c r="K109">
        <v>23</v>
      </c>
      <c r="L109" s="7">
        <v>45191</v>
      </c>
      <c r="M109" t="s">
        <v>5030</v>
      </c>
      <c r="N109">
        <v>3</v>
      </c>
      <c r="O109">
        <v>8226</v>
      </c>
    </row>
    <row r="110" spans="1:15" x14ac:dyDescent="0.3">
      <c r="A110" t="s">
        <v>765</v>
      </c>
      <c r="B110" t="s">
        <v>1765</v>
      </c>
      <c r="C110" t="s">
        <v>2765</v>
      </c>
      <c r="D110" t="s">
        <v>3765</v>
      </c>
      <c r="E110" t="s">
        <v>4765</v>
      </c>
      <c r="F110">
        <v>41</v>
      </c>
      <c r="G110" t="s">
        <v>5017</v>
      </c>
      <c r="H110" t="s">
        <v>5018</v>
      </c>
      <c r="I110" t="s">
        <v>5024</v>
      </c>
      <c r="J110">
        <v>34667</v>
      </c>
      <c r="K110">
        <v>5</v>
      </c>
      <c r="L110" s="7">
        <v>45270</v>
      </c>
      <c r="M110" t="s">
        <v>5030</v>
      </c>
      <c r="N110">
        <v>2</v>
      </c>
      <c r="O110">
        <v>5538</v>
      </c>
    </row>
    <row r="111" spans="1:15" x14ac:dyDescent="0.3">
      <c r="A111" t="s">
        <v>431</v>
      </c>
      <c r="B111" t="s">
        <v>1431</v>
      </c>
      <c r="C111" t="s">
        <v>2431</v>
      </c>
      <c r="D111" t="s">
        <v>3431</v>
      </c>
      <c r="E111" t="s">
        <v>4431</v>
      </c>
      <c r="F111">
        <v>26</v>
      </c>
      <c r="G111" t="s">
        <v>5017</v>
      </c>
      <c r="H111" t="s">
        <v>5021</v>
      </c>
      <c r="I111" t="s">
        <v>5026</v>
      </c>
      <c r="J111">
        <v>34775</v>
      </c>
      <c r="K111">
        <v>58</v>
      </c>
      <c r="L111" s="7">
        <v>45002</v>
      </c>
      <c r="M111" t="s">
        <v>5029</v>
      </c>
      <c r="N111">
        <v>9</v>
      </c>
      <c r="O111">
        <v>4443</v>
      </c>
    </row>
    <row r="112" spans="1:15" x14ac:dyDescent="0.3">
      <c r="A112" t="s">
        <v>423</v>
      </c>
      <c r="B112" t="s">
        <v>1423</v>
      </c>
      <c r="C112" t="s">
        <v>2423</v>
      </c>
      <c r="D112" t="s">
        <v>3423</v>
      </c>
      <c r="E112" t="s">
        <v>4423</v>
      </c>
      <c r="F112">
        <v>65</v>
      </c>
      <c r="G112" t="s">
        <v>5015</v>
      </c>
      <c r="H112" t="s">
        <v>5019</v>
      </c>
      <c r="I112" t="s">
        <v>5027</v>
      </c>
      <c r="J112">
        <v>34920</v>
      </c>
      <c r="K112">
        <v>33</v>
      </c>
      <c r="L112" s="7">
        <v>45219</v>
      </c>
      <c r="M112" t="s">
        <v>5030</v>
      </c>
      <c r="N112">
        <v>4</v>
      </c>
      <c r="O112">
        <v>6282</v>
      </c>
    </row>
    <row r="113" spans="1:15" x14ac:dyDescent="0.3">
      <c r="A113" t="s">
        <v>237</v>
      </c>
      <c r="B113" t="s">
        <v>1237</v>
      </c>
      <c r="C113" t="s">
        <v>2237</v>
      </c>
      <c r="D113" t="s">
        <v>3237</v>
      </c>
      <c r="E113" t="s">
        <v>4237</v>
      </c>
      <c r="F113">
        <v>55</v>
      </c>
      <c r="G113" t="s">
        <v>5015</v>
      </c>
      <c r="H113" t="s">
        <v>5020</v>
      </c>
      <c r="I113" t="s">
        <v>5025</v>
      </c>
      <c r="J113">
        <v>34968</v>
      </c>
      <c r="K113">
        <v>12</v>
      </c>
      <c r="L113" s="7">
        <v>44972</v>
      </c>
      <c r="M113" t="s">
        <v>5029</v>
      </c>
      <c r="N113">
        <v>4</v>
      </c>
      <c r="O113">
        <v>4033</v>
      </c>
    </row>
    <row r="114" spans="1:15" x14ac:dyDescent="0.3">
      <c r="A114" t="s">
        <v>965</v>
      </c>
      <c r="B114" t="s">
        <v>1965</v>
      </c>
      <c r="C114" t="s">
        <v>2965</v>
      </c>
      <c r="D114" t="s">
        <v>3965</v>
      </c>
      <c r="E114" t="s">
        <v>4965</v>
      </c>
      <c r="F114">
        <v>39</v>
      </c>
      <c r="G114" t="s">
        <v>5017</v>
      </c>
      <c r="H114" t="s">
        <v>5018</v>
      </c>
      <c r="I114" t="s">
        <v>5023</v>
      </c>
      <c r="J114">
        <v>35254</v>
      </c>
      <c r="K114">
        <v>11</v>
      </c>
      <c r="L114" s="7">
        <v>44951</v>
      </c>
      <c r="M114" t="s">
        <v>5028</v>
      </c>
      <c r="N114">
        <v>7</v>
      </c>
      <c r="O114">
        <v>2293</v>
      </c>
    </row>
    <row r="115" spans="1:15" x14ac:dyDescent="0.3">
      <c r="A115" t="s">
        <v>792</v>
      </c>
      <c r="B115" t="s">
        <v>1792</v>
      </c>
      <c r="C115" t="s">
        <v>2792</v>
      </c>
      <c r="D115" t="s">
        <v>3792</v>
      </c>
      <c r="E115" t="s">
        <v>4792</v>
      </c>
      <c r="F115">
        <v>58</v>
      </c>
      <c r="G115" t="s">
        <v>5017</v>
      </c>
      <c r="H115" t="s">
        <v>5021</v>
      </c>
      <c r="I115" t="s">
        <v>5026</v>
      </c>
      <c r="J115">
        <v>35304</v>
      </c>
      <c r="K115">
        <v>5</v>
      </c>
      <c r="L115" s="7">
        <v>45002</v>
      </c>
      <c r="M115" t="s">
        <v>5028</v>
      </c>
      <c r="N115">
        <v>10</v>
      </c>
      <c r="O115">
        <v>5505</v>
      </c>
    </row>
    <row r="116" spans="1:15" x14ac:dyDescent="0.3">
      <c r="A116" t="s">
        <v>598</v>
      </c>
      <c r="B116" t="s">
        <v>1598</v>
      </c>
      <c r="C116" t="s">
        <v>2598</v>
      </c>
      <c r="D116" t="s">
        <v>3598</v>
      </c>
      <c r="E116" t="s">
        <v>4598</v>
      </c>
      <c r="F116">
        <v>43</v>
      </c>
      <c r="G116" t="s">
        <v>5017</v>
      </c>
      <c r="H116" t="s">
        <v>5019</v>
      </c>
      <c r="I116" t="s">
        <v>5024</v>
      </c>
      <c r="J116">
        <v>35343</v>
      </c>
      <c r="K116">
        <v>71</v>
      </c>
      <c r="L116" s="7">
        <v>44936</v>
      </c>
      <c r="M116" t="s">
        <v>5029</v>
      </c>
      <c r="N116">
        <v>9</v>
      </c>
      <c r="O116">
        <v>1869</v>
      </c>
    </row>
    <row r="117" spans="1:15" x14ac:dyDescent="0.3">
      <c r="A117" t="s">
        <v>801</v>
      </c>
      <c r="B117" t="s">
        <v>1801</v>
      </c>
      <c r="C117" t="s">
        <v>2801</v>
      </c>
      <c r="D117" t="s">
        <v>3801</v>
      </c>
      <c r="E117" t="s">
        <v>4801</v>
      </c>
      <c r="F117">
        <v>28</v>
      </c>
      <c r="G117" t="s">
        <v>5015</v>
      </c>
      <c r="H117" t="s">
        <v>5022</v>
      </c>
      <c r="I117" t="s">
        <v>5025</v>
      </c>
      <c r="J117">
        <v>35917</v>
      </c>
      <c r="K117">
        <v>13</v>
      </c>
      <c r="L117" s="7">
        <v>45134</v>
      </c>
      <c r="M117" t="s">
        <v>5028</v>
      </c>
      <c r="N117">
        <v>1</v>
      </c>
      <c r="O117">
        <v>4162</v>
      </c>
    </row>
    <row r="118" spans="1:15" x14ac:dyDescent="0.3">
      <c r="A118" t="s">
        <v>582</v>
      </c>
      <c r="B118" t="s">
        <v>1582</v>
      </c>
      <c r="C118" t="s">
        <v>2582</v>
      </c>
      <c r="D118" t="s">
        <v>3582</v>
      </c>
      <c r="E118" t="s">
        <v>4582</v>
      </c>
      <c r="F118">
        <v>41</v>
      </c>
      <c r="G118" t="s">
        <v>5017</v>
      </c>
      <c r="H118" t="s">
        <v>5019</v>
      </c>
      <c r="I118" t="s">
        <v>5025</v>
      </c>
      <c r="J118">
        <v>36041</v>
      </c>
      <c r="K118">
        <v>51</v>
      </c>
      <c r="L118" s="7">
        <v>45215</v>
      </c>
      <c r="M118" t="s">
        <v>5030</v>
      </c>
      <c r="N118">
        <v>6</v>
      </c>
      <c r="O118">
        <v>2024</v>
      </c>
    </row>
    <row r="119" spans="1:15" x14ac:dyDescent="0.3">
      <c r="A119" t="s">
        <v>587</v>
      </c>
      <c r="B119" t="s">
        <v>1587</v>
      </c>
      <c r="C119" t="s">
        <v>2587</v>
      </c>
      <c r="D119" t="s">
        <v>3587</v>
      </c>
      <c r="E119" t="s">
        <v>4587</v>
      </c>
      <c r="F119">
        <v>37</v>
      </c>
      <c r="G119" t="s">
        <v>5015</v>
      </c>
      <c r="H119" t="s">
        <v>5018</v>
      </c>
      <c r="I119" t="s">
        <v>5024</v>
      </c>
      <c r="J119">
        <v>36077</v>
      </c>
      <c r="K119">
        <v>4</v>
      </c>
      <c r="L119" s="7">
        <v>45152</v>
      </c>
      <c r="M119" t="s">
        <v>5029</v>
      </c>
      <c r="N119">
        <v>6</v>
      </c>
      <c r="O119">
        <v>9205</v>
      </c>
    </row>
    <row r="120" spans="1:15" x14ac:dyDescent="0.3">
      <c r="A120" t="s">
        <v>867</v>
      </c>
      <c r="B120" t="s">
        <v>1867</v>
      </c>
      <c r="C120" t="s">
        <v>2867</v>
      </c>
      <c r="D120" t="s">
        <v>3867</v>
      </c>
      <c r="E120" t="s">
        <v>4867</v>
      </c>
      <c r="F120">
        <v>46</v>
      </c>
      <c r="G120" t="s">
        <v>5017</v>
      </c>
      <c r="H120" t="s">
        <v>5020</v>
      </c>
      <c r="I120" t="s">
        <v>5023</v>
      </c>
      <c r="J120">
        <v>36143</v>
      </c>
      <c r="K120">
        <v>36</v>
      </c>
      <c r="L120" s="7">
        <v>45116</v>
      </c>
      <c r="M120" t="s">
        <v>5028</v>
      </c>
      <c r="N120">
        <v>5</v>
      </c>
      <c r="O120">
        <v>9906</v>
      </c>
    </row>
    <row r="121" spans="1:15" x14ac:dyDescent="0.3">
      <c r="A121" t="s">
        <v>630</v>
      </c>
      <c r="B121" t="s">
        <v>1630</v>
      </c>
      <c r="C121" t="s">
        <v>2630</v>
      </c>
      <c r="D121" t="s">
        <v>3630</v>
      </c>
      <c r="E121" t="s">
        <v>4630</v>
      </c>
      <c r="F121">
        <v>28</v>
      </c>
      <c r="G121" t="s">
        <v>5017</v>
      </c>
      <c r="H121" t="s">
        <v>5019</v>
      </c>
      <c r="I121" t="s">
        <v>5023</v>
      </c>
      <c r="J121">
        <v>36170</v>
      </c>
      <c r="K121">
        <v>90</v>
      </c>
      <c r="L121" s="7">
        <v>45133</v>
      </c>
      <c r="M121" t="s">
        <v>5029</v>
      </c>
      <c r="N121">
        <v>3</v>
      </c>
      <c r="O121">
        <v>9488</v>
      </c>
    </row>
    <row r="122" spans="1:15" x14ac:dyDescent="0.3">
      <c r="A122" t="s">
        <v>660</v>
      </c>
      <c r="B122" t="s">
        <v>1660</v>
      </c>
      <c r="C122" t="s">
        <v>2660</v>
      </c>
      <c r="D122" t="s">
        <v>3660</v>
      </c>
      <c r="E122" t="s">
        <v>4660</v>
      </c>
      <c r="F122">
        <v>54</v>
      </c>
      <c r="G122" t="s">
        <v>5016</v>
      </c>
      <c r="H122" t="s">
        <v>5019</v>
      </c>
      <c r="I122" t="s">
        <v>5025</v>
      </c>
      <c r="J122">
        <v>36550</v>
      </c>
      <c r="K122">
        <v>60</v>
      </c>
      <c r="L122" s="7">
        <v>45040</v>
      </c>
      <c r="M122" t="s">
        <v>5028</v>
      </c>
      <c r="N122">
        <v>8</v>
      </c>
      <c r="O122">
        <v>8216</v>
      </c>
    </row>
    <row r="123" spans="1:15" x14ac:dyDescent="0.3">
      <c r="A123" t="s">
        <v>412</v>
      </c>
      <c r="B123" t="s">
        <v>1412</v>
      </c>
      <c r="C123" t="s">
        <v>2412</v>
      </c>
      <c r="D123" t="s">
        <v>3412</v>
      </c>
      <c r="E123" t="s">
        <v>4412</v>
      </c>
      <c r="F123">
        <v>37</v>
      </c>
      <c r="G123" t="s">
        <v>5015</v>
      </c>
      <c r="H123" t="s">
        <v>5021</v>
      </c>
      <c r="I123" t="s">
        <v>5024</v>
      </c>
      <c r="J123">
        <v>36782</v>
      </c>
      <c r="K123">
        <v>45</v>
      </c>
      <c r="L123" s="7">
        <v>45108</v>
      </c>
      <c r="M123" t="s">
        <v>5028</v>
      </c>
      <c r="N123">
        <v>3</v>
      </c>
      <c r="O123">
        <v>9768</v>
      </c>
    </row>
    <row r="124" spans="1:15" x14ac:dyDescent="0.3">
      <c r="A124" t="s">
        <v>535</v>
      </c>
      <c r="B124" t="s">
        <v>1535</v>
      </c>
      <c r="C124" t="s">
        <v>2535</v>
      </c>
      <c r="D124" t="s">
        <v>3535</v>
      </c>
      <c r="E124" t="s">
        <v>4535</v>
      </c>
      <c r="F124">
        <v>62</v>
      </c>
      <c r="G124" t="s">
        <v>5017</v>
      </c>
      <c r="H124" t="s">
        <v>5019</v>
      </c>
      <c r="I124" t="s">
        <v>5027</v>
      </c>
      <c r="J124">
        <v>36919</v>
      </c>
      <c r="K124">
        <v>2</v>
      </c>
      <c r="L124" s="7">
        <v>44987</v>
      </c>
      <c r="M124" t="s">
        <v>5029</v>
      </c>
      <c r="N124">
        <v>6</v>
      </c>
      <c r="O124">
        <v>2681</v>
      </c>
    </row>
    <row r="125" spans="1:15" x14ac:dyDescent="0.3">
      <c r="A125" t="s">
        <v>616</v>
      </c>
      <c r="B125" t="s">
        <v>1616</v>
      </c>
      <c r="C125" t="s">
        <v>2616</v>
      </c>
      <c r="D125" t="s">
        <v>3616</v>
      </c>
      <c r="E125" t="s">
        <v>4616</v>
      </c>
      <c r="F125">
        <v>32</v>
      </c>
      <c r="G125" t="s">
        <v>5016</v>
      </c>
      <c r="H125" t="s">
        <v>5019</v>
      </c>
      <c r="I125" t="s">
        <v>5023</v>
      </c>
      <c r="J125">
        <v>37069</v>
      </c>
      <c r="K125">
        <v>30</v>
      </c>
      <c r="L125" s="7">
        <v>45060</v>
      </c>
      <c r="M125" t="s">
        <v>5030</v>
      </c>
      <c r="N125">
        <v>8</v>
      </c>
      <c r="O125">
        <v>1851</v>
      </c>
    </row>
    <row r="126" spans="1:15" x14ac:dyDescent="0.3">
      <c r="A126" t="s">
        <v>280</v>
      </c>
      <c r="B126" t="s">
        <v>1280</v>
      </c>
      <c r="C126" t="s">
        <v>2280</v>
      </c>
      <c r="D126" t="s">
        <v>3280</v>
      </c>
      <c r="E126" t="s">
        <v>4280</v>
      </c>
      <c r="F126">
        <v>67</v>
      </c>
      <c r="G126" t="s">
        <v>5016</v>
      </c>
      <c r="H126" t="s">
        <v>5022</v>
      </c>
      <c r="I126" t="s">
        <v>5026</v>
      </c>
      <c r="J126">
        <v>37324</v>
      </c>
      <c r="K126">
        <v>88</v>
      </c>
      <c r="L126" s="7">
        <v>44997</v>
      </c>
      <c r="M126" t="s">
        <v>5030</v>
      </c>
      <c r="N126">
        <v>4</v>
      </c>
      <c r="O126">
        <v>6654</v>
      </c>
    </row>
    <row r="127" spans="1:15" x14ac:dyDescent="0.3">
      <c r="A127" t="s">
        <v>330</v>
      </c>
      <c r="B127" t="s">
        <v>1330</v>
      </c>
      <c r="C127" t="s">
        <v>2330</v>
      </c>
      <c r="D127" t="s">
        <v>3330</v>
      </c>
      <c r="E127" t="s">
        <v>4330</v>
      </c>
      <c r="F127">
        <v>23</v>
      </c>
      <c r="G127" t="s">
        <v>5016</v>
      </c>
      <c r="H127" t="s">
        <v>5022</v>
      </c>
      <c r="I127" t="s">
        <v>5024</v>
      </c>
      <c r="J127">
        <v>37751</v>
      </c>
      <c r="K127">
        <v>29</v>
      </c>
      <c r="L127" s="7">
        <v>45171</v>
      </c>
      <c r="M127" t="s">
        <v>5028</v>
      </c>
      <c r="N127">
        <v>5</v>
      </c>
      <c r="O127">
        <v>262</v>
      </c>
    </row>
    <row r="128" spans="1:15" x14ac:dyDescent="0.3">
      <c r="A128" t="s">
        <v>197</v>
      </c>
      <c r="B128" t="s">
        <v>1197</v>
      </c>
      <c r="C128" t="s">
        <v>2197</v>
      </c>
      <c r="D128" t="s">
        <v>3197</v>
      </c>
      <c r="E128" t="s">
        <v>4197</v>
      </c>
      <c r="F128">
        <v>59</v>
      </c>
      <c r="G128" t="s">
        <v>5017</v>
      </c>
      <c r="H128" t="s">
        <v>5019</v>
      </c>
      <c r="I128" t="s">
        <v>5024</v>
      </c>
      <c r="J128">
        <v>37821</v>
      </c>
      <c r="K128">
        <v>3</v>
      </c>
      <c r="L128" s="7">
        <v>45095</v>
      </c>
      <c r="M128" t="s">
        <v>5028</v>
      </c>
      <c r="N128">
        <v>6</v>
      </c>
      <c r="O128">
        <v>9147</v>
      </c>
    </row>
    <row r="129" spans="1:15" x14ac:dyDescent="0.3">
      <c r="A129" t="s">
        <v>874</v>
      </c>
      <c r="B129" t="s">
        <v>1874</v>
      </c>
      <c r="C129" t="s">
        <v>2874</v>
      </c>
      <c r="D129" t="s">
        <v>3874</v>
      </c>
      <c r="E129" t="s">
        <v>4874</v>
      </c>
      <c r="F129">
        <v>60</v>
      </c>
      <c r="G129" t="s">
        <v>5016</v>
      </c>
      <c r="H129" t="s">
        <v>5021</v>
      </c>
      <c r="I129" t="s">
        <v>5025</v>
      </c>
      <c r="J129">
        <v>37866</v>
      </c>
      <c r="K129">
        <v>91</v>
      </c>
      <c r="L129" s="7">
        <v>45121</v>
      </c>
      <c r="M129" t="s">
        <v>5028</v>
      </c>
      <c r="N129">
        <v>6</v>
      </c>
      <c r="O129">
        <v>1340</v>
      </c>
    </row>
    <row r="130" spans="1:15" x14ac:dyDescent="0.3">
      <c r="A130" t="s">
        <v>58</v>
      </c>
      <c r="B130" t="s">
        <v>1058</v>
      </c>
      <c r="C130" t="s">
        <v>2058</v>
      </c>
      <c r="D130" t="s">
        <v>3058</v>
      </c>
      <c r="E130" t="s">
        <v>4058</v>
      </c>
      <c r="F130">
        <v>46</v>
      </c>
      <c r="G130" t="s">
        <v>5015</v>
      </c>
      <c r="H130" t="s">
        <v>5021</v>
      </c>
      <c r="I130" t="s">
        <v>5026</v>
      </c>
      <c r="J130">
        <v>37967</v>
      </c>
      <c r="K130">
        <v>21</v>
      </c>
      <c r="L130" s="7">
        <v>45008</v>
      </c>
      <c r="M130" t="s">
        <v>5028</v>
      </c>
      <c r="N130">
        <v>3</v>
      </c>
      <c r="O130">
        <v>2681</v>
      </c>
    </row>
    <row r="131" spans="1:15" x14ac:dyDescent="0.3">
      <c r="A131" t="s">
        <v>996</v>
      </c>
      <c r="B131" t="s">
        <v>1996</v>
      </c>
      <c r="C131" t="s">
        <v>2996</v>
      </c>
      <c r="D131" t="s">
        <v>3996</v>
      </c>
      <c r="E131" t="s">
        <v>4996</v>
      </c>
      <c r="F131">
        <v>56</v>
      </c>
      <c r="G131" t="s">
        <v>5017</v>
      </c>
      <c r="H131" t="s">
        <v>5018</v>
      </c>
      <c r="I131" t="s">
        <v>5027</v>
      </c>
      <c r="J131">
        <v>37985</v>
      </c>
      <c r="K131">
        <v>37</v>
      </c>
      <c r="L131" s="7">
        <v>44987</v>
      </c>
      <c r="M131" t="s">
        <v>5030</v>
      </c>
      <c r="N131">
        <v>4</v>
      </c>
      <c r="O131">
        <v>5879</v>
      </c>
    </row>
    <row r="132" spans="1:15" x14ac:dyDescent="0.3">
      <c r="A132" t="s">
        <v>108</v>
      </c>
      <c r="B132" t="s">
        <v>1108</v>
      </c>
      <c r="C132" t="s">
        <v>2108</v>
      </c>
      <c r="D132" t="s">
        <v>3108</v>
      </c>
      <c r="E132" t="s">
        <v>4108</v>
      </c>
      <c r="F132">
        <v>42</v>
      </c>
      <c r="G132" t="s">
        <v>5015</v>
      </c>
      <c r="H132" t="s">
        <v>5020</v>
      </c>
      <c r="I132" t="s">
        <v>5023</v>
      </c>
      <c r="J132">
        <v>38096</v>
      </c>
      <c r="K132">
        <v>70</v>
      </c>
      <c r="L132" s="7">
        <v>44965</v>
      </c>
      <c r="M132" t="s">
        <v>5029</v>
      </c>
      <c r="N132">
        <v>3</v>
      </c>
      <c r="O132">
        <v>3273</v>
      </c>
    </row>
    <row r="133" spans="1:15" x14ac:dyDescent="0.3">
      <c r="A133" t="s">
        <v>446</v>
      </c>
      <c r="B133" t="s">
        <v>1446</v>
      </c>
      <c r="C133" t="s">
        <v>2446</v>
      </c>
      <c r="D133" t="s">
        <v>3446</v>
      </c>
      <c r="E133" t="s">
        <v>4446</v>
      </c>
      <c r="F133">
        <v>57</v>
      </c>
      <c r="G133" t="s">
        <v>5016</v>
      </c>
      <c r="H133" t="s">
        <v>5018</v>
      </c>
      <c r="I133" t="s">
        <v>5023</v>
      </c>
      <c r="J133">
        <v>38283</v>
      </c>
      <c r="K133">
        <v>25</v>
      </c>
      <c r="L133" s="7">
        <v>45258</v>
      </c>
      <c r="M133" t="s">
        <v>5028</v>
      </c>
      <c r="N133">
        <v>8</v>
      </c>
      <c r="O133">
        <v>3598</v>
      </c>
    </row>
    <row r="134" spans="1:15" x14ac:dyDescent="0.3">
      <c r="A134" t="s">
        <v>506</v>
      </c>
      <c r="B134" t="s">
        <v>1506</v>
      </c>
      <c r="C134" t="s">
        <v>2506</v>
      </c>
      <c r="D134" t="s">
        <v>3506</v>
      </c>
      <c r="E134" t="s">
        <v>4506</v>
      </c>
      <c r="F134">
        <v>62</v>
      </c>
      <c r="G134" t="s">
        <v>5015</v>
      </c>
      <c r="H134" t="s">
        <v>5020</v>
      </c>
      <c r="I134" t="s">
        <v>5025</v>
      </c>
      <c r="J134">
        <v>38840</v>
      </c>
      <c r="K134">
        <v>76</v>
      </c>
      <c r="L134" s="7">
        <v>45223</v>
      </c>
      <c r="M134" t="s">
        <v>5028</v>
      </c>
      <c r="N134">
        <v>6</v>
      </c>
      <c r="O134">
        <v>7666</v>
      </c>
    </row>
    <row r="135" spans="1:15" x14ac:dyDescent="0.3">
      <c r="A135" t="s">
        <v>881</v>
      </c>
      <c r="B135" t="s">
        <v>1881</v>
      </c>
      <c r="C135" t="s">
        <v>2881</v>
      </c>
      <c r="D135" t="s">
        <v>3881</v>
      </c>
      <c r="E135" t="s">
        <v>4881</v>
      </c>
      <c r="F135">
        <v>32</v>
      </c>
      <c r="G135" t="s">
        <v>5017</v>
      </c>
      <c r="H135" t="s">
        <v>5018</v>
      </c>
      <c r="I135" t="s">
        <v>5023</v>
      </c>
      <c r="J135">
        <v>39492</v>
      </c>
      <c r="K135">
        <v>85</v>
      </c>
      <c r="L135" s="7">
        <v>44962</v>
      </c>
      <c r="M135" t="s">
        <v>5029</v>
      </c>
      <c r="N135">
        <v>5</v>
      </c>
      <c r="O135">
        <v>7029</v>
      </c>
    </row>
    <row r="136" spans="1:15" x14ac:dyDescent="0.3">
      <c r="A136" t="s">
        <v>75</v>
      </c>
      <c r="B136" t="s">
        <v>1075</v>
      </c>
      <c r="C136" t="s">
        <v>2075</v>
      </c>
      <c r="D136" t="s">
        <v>3075</v>
      </c>
      <c r="E136" t="s">
        <v>4075</v>
      </c>
      <c r="F136">
        <v>59</v>
      </c>
      <c r="G136" t="s">
        <v>5016</v>
      </c>
      <c r="H136" t="s">
        <v>5022</v>
      </c>
      <c r="I136" t="s">
        <v>5023</v>
      </c>
      <c r="J136">
        <v>39634</v>
      </c>
      <c r="K136">
        <v>42</v>
      </c>
      <c r="L136" s="7">
        <v>45009</v>
      </c>
      <c r="M136" t="s">
        <v>5029</v>
      </c>
      <c r="N136">
        <v>6</v>
      </c>
      <c r="O136">
        <v>3074</v>
      </c>
    </row>
    <row r="137" spans="1:15" x14ac:dyDescent="0.3">
      <c r="A137" t="s">
        <v>897</v>
      </c>
      <c r="B137" t="s">
        <v>1897</v>
      </c>
      <c r="C137" t="s">
        <v>2897</v>
      </c>
      <c r="D137" t="s">
        <v>3897</v>
      </c>
      <c r="E137" t="s">
        <v>4897</v>
      </c>
      <c r="F137">
        <v>70</v>
      </c>
      <c r="G137" t="s">
        <v>5017</v>
      </c>
      <c r="H137" t="s">
        <v>5021</v>
      </c>
      <c r="I137" t="s">
        <v>5024</v>
      </c>
      <c r="J137">
        <v>40035</v>
      </c>
      <c r="K137">
        <v>5</v>
      </c>
      <c r="L137" s="7">
        <v>44960</v>
      </c>
      <c r="M137" t="s">
        <v>5029</v>
      </c>
      <c r="N137">
        <v>1</v>
      </c>
      <c r="O137">
        <v>4310</v>
      </c>
    </row>
    <row r="138" spans="1:15" x14ac:dyDescent="0.3">
      <c r="A138" t="s">
        <v>372</v>
      </c>
      <c r="B138" t="s">
        <v>1372</v>
      </c>
      <c r="C138" t="s">
        <v>2372</v>
      </c>
      <c r="D138" t="s">
        <v>3372</v>
      </c>
      <c r="E138" t="s">
        <v>4372</v>
      </c>
      <c r="F138">
        <v>28</v>
      </c>
      <c r="G138" t="s">
        <v>5015</v>
      </c>
      <c r="H138" t="s">
        <v>5018</v>
      </c>
      <c r="I138" t="s">
        <v>5025</v>
      </c>
      <c r="J138">
        <v>40090</v>
      </c>
      <c r="K138">
        <v>59</v>
      </c>
      <c r="L138" s="7">
        <v>45200</v>
      </c>
      <c r="M138" t="s">
        <v>5030</v>
      </c>
      <c r="N138">
        <v>9</v>
      </c>
      <c r="O138">
        <v>1473</v>
      </c>
    </row>
    <row r="139" spans="1:15" x14ac:dyDescent="0.3">
      <c r="A139" t="s">
        <v>567</v>
      </c>
      <c r="B139" t="s">
        <v>1567</v>
      </c>
      <c r="C139" t="s">
        <v>2567</v>
      </c>
      <c r="D139" t="s">
        <v>3567</v>
      </c>
      <c r="E139" t="s">
        <v>4567</v>
      </c>
      <c r="F139">
        <v>31</v>
      </c>
      <c r="G139" t="s">
        <v>5015</v>
      </c>
      <c r="H139" t="s">
        <v>5019</v>
      </c>
      <c r="I139" t="s">
        <v>5026</v>
      </c>
      <c r="J139">
        <v>40111</v>
      </c>
      <c r="K139">
        <v>93</v>
      </c>
      <c r="L139" s="7">
        <v>44955</v>
      </c>
      <c r="M139" t="s">
        <v>5028</v>
      </c>
      <c r="N139">
        <v>4</v>
      </c>
      <c r="O139">
        <v>3221</v>
      </c>
    </row>
    <row r="140" spans="1:15" x14ac:dyDescent="0.3">
      <c r="A140" t="s">
        <v>494</v>
      </c>
      <c r="B140" t="s">
        <v>1494</v>
      </c>
      <c r="C140" t="s">
        <v>2494</v>
      </c>
      <c r="D140" t="s">
        <v>3494</v>
      </c>
      <c r="E140" t="s">
        <v>4494</v>
      </c>
      <c r="F140">
        <v>47</v>
      </c>
      <c r="G140" t="s">
        <v>5015</v>
      </c>
      <c r="H140" t="s">
        <v>5022</v>
      </c>
      <c r="I140" t="s">
        <v>5027</v>
      </c>
      <c r="J140">
        <v>40133</v>
      </c>
      <c r="K140">
        <v>46</v>
      </c>
      <c r="L140" s="7">
        <v>45025</v>
      </c>
      <c r="M140" t="s">
        <v>5028</v>
      </c>
      <c r="N140">
        <v>4</v>
      </c>
      <c r="O140">
        <v>5449</v>
      </c>
    </row>
    <row r="141" spans="1:15" x14ac:dyDescent="0.3">
      <c r="A141" t="s">
        <v>817</v>
      </c>
      <c r="B141" t="s">
        <v>1817</v>
      </c>
      <c r="C141" t="s">
        <v>2817</v>
      </c>
      <c r="D141" t="s">
        <v>3817</v>
      </c>
      <c r="E141" t="s">
        <v>4817</v>
      </c>
      <c r="F141">
        <v>45</v>
      </c>
      <c r="G141" t="s">
        <v>5017</v>
      </c>
      <c r="H141" t="s">
        <v>5019</v>
      </c>
      <c r="I141" t="s">
        <v>5025</v>
      </c>
      <c r="J141">
        <v>40139</v>
      </c>
      <c r="K141">
        <v>38</v>
      </c>
      <c r="L141" s="7">
        <v>44944</v>
      </c>
      <c r="M141" t="s">
        <v>5030</v>
      </c>
      <c r="N141">
        <v>9</v>
      </c>
      <c r="O141">
        <v>6568</v>
      </c>
    </row>
    <row r="142" spans="1:15" x14ac:dyDescent="0.3">
      <c r="A142" t="s">
        <v>699</v>
      </c>
      <c r="B142" t="s">
        <v>1699</v>
      </c>
      <c r="C142" t="s">
        <v>2699</v>
      </c>
      <c r="D142" t="s">
        <v>3699</v>
      </c>
      <c r="E142" t="s">
        <v>4699</v>
      </c>
      <c r="F142">
        <v>30</v>
      </c>
      <c r="G142" t="s">
        <v>5016</v>
      </c>
      <c r="H142" t="s">
        <v>5021</v>
      </c>
      <c r="I142" t="s">
        <v>5024</v>
      </c>
      <c r="J142">
        <v>40589</v>
      </c>
      <c r="K142">
        <v>42</v>
      </c>
      <c r="L142" s="7">
        <v>44983</v>
      </c>
      <c r="M142" t="s">
        <v>5030</v>
      </c>
      <c r="N142">
        <v>7</v>
      </c>
      <c r="O142">
        <v>3150</v>
      </c>
    </row>
    <row r="143" spans="1:15" x14ac:dyDescent="0.3">
      <c r="A143" t="s">
        <v>242</v>
      </c>
      <c r="B143" t="s">
        <v>1242</v>
      </c>
      <c r="C143" t="s">
        <v>2242</v>
      </c>
      <c r="D143" t="s">
        <v>3242</v>
      </c>
      <c r="E143" t="s">
        <v>4242</v>
      </c>
      <c r="F143">
        <v>33</v>
      </c>
      <c r="G143" t="s">
        <v>5016</v>
      </c>
      <c r="H143" t="s">
        <v>5021</v>
      </c>
      <c r="I143" t="s">
        <v>5025</v>
      </c>
      <c r="J143">
        <v>40649</v>
      </c>
      <c r="K143">
        <v>96</v>
      </c>
      <c r="L143" s="7">
        <v>45012</v>
      </c>
      <c r="M143" t="s">
        <v>5029</v>
      </c>
      <c r="N143">
        <v>2</v>
      </c>
      <c r="O143">
        <v>3835</v>
      </c>
    </row>
    <row r="144" spans="1:15" x14ac:dyDescent="0.3">
      <c r="A144" t="s">
        <v>409</v>
      </c>
      <c r="B144" t="s">
        <v>1409</v>
      </c>
      <c r="C144" t="s">
        <v>2409</v>
      </c>
      <c r="D144" t="s">
        <v>3409</v>
      </c>
      <c r="E144" t="s">
        <v>4409</v>
      </c>
      <c r="F144">
        <v>39</v>
      </c>
      <c r="G144" t="s">
        <v>5017</v>
      </c>
      <c r="H144" t="s">
        <v>5018</v>
      </c>
      <c r="I144" t="s">
        <v>5025</v>
      </c>
      <c r="J144">
        <v>40678</v>
      </c>
      <c r="K144">
        <v>43</v>
      </c>
      <c r="L144" s="7">
        <v>45244</v>
      </c>
      <c r="M144" t="s">
        <v>5028</v>
      </c>
      <c r="N144">
        <v>7</v>
      </c>
      <c r="O144">
        <v>9597</v>
      </c>
    </row>
    <row r="145" spans="1:15" x14ac:dyDescent="0.3">
      <c r="A145" t="s">
        <v>258</v>
      </c>
      <c r="B145" t="s">
        <v>1258</v>
      </c>
      <c r="C145" t="s">
        <v>2258</v>
      </c>
      <c r="D145" t="s">
        <v>3258</v>
      </c>
      <c r="E145" t="s">
        <v>4258</v>
      </c>
      <c r="F145">
        <v>32</v>
      </c>
      <c r="G145" t="s">
        <v>5017</v>
      </c>
      <c r="H145" t="s">
        <v>5020</v>
      </c>
      <c r="I145" t="s">
        <v>5026</v>
      </c>
      <c r="J145">
        <v>40809</v>
      </c>
      <c r="K145">
        <v>48</v>
      </c>
      <c r="L145" s="7">
        <v>44984</v>
      </c>
      <c r="M145" t="s">
        <v>5029</v>
      </c>
      <c r="N145">
        <v>8</v>
      </c>
      <c r="O145">
        <v>5119</v>
      </c>
    </row>
    <row r="146" spans="1:15" x14ac:dyDescent="0.3">
      <c r="A146" t="s">
        <v>380</v>
      </c>
      <c r="B146" t="s">
        <v>1380</v>
      </c>
      <c r="C146" t="s">
        <v>2380</v>
      </c>
      <c r="D146" t="s">
        <v>3380</v>
      </c>
      <c r="E146" t="s">
        <v>4380</v>
      </c>
      <c r="F146">
        <v>37</v>
      </c>
      <c r="G146" t="s">
        <v>5017</v>
      </c>
      <c r="H146" t="s">
        <v>5020</v>
      </c>
      <c r="I146" t="s">
        <v>5025</v>
      </c>
      <c r="J146">
        <v>40830</v>
      </c>
      <c r="K146">
        <v>44</v>
      </c>
      <c r="L146" s="7">
        <v>45267</v>
      </c>
      <c r="M146" t="s">
        <v>5029</v>
      </c>
      <c r="N146">
        <v>8</v>
      </c>
      <c r="O146">
        <v>9127</v>
      </c>
    </row>
    <row r="147" spans="1:15" x14ac:dyDescent="0.3">
      <c r="A147" t="s">
        <v>944</v>
      </c>
      <c r="B147" t="s">
        <v>1944</v>
      </c>
      <c r="C147" t="s">
        <v>2944</v>
      </c>
      <c r="D147" t="s">
        <v>3944</v>
      </c>
      <c r="E147" t="s">
        <v>4944</v>
      </c>
      <c r="F147">
        <v>63</v>
      </c>
      <c r="G147" t="s">
        <v>5017</v>
      </c>
      <c r="H147" t="s">
        <v>5020</v>
      </c>
      <c r="I147" t="s">
        <v>5024</v>
      </c>
      <c r="J147">
        <v>40927</v>
      </c>
      <c r="K147">
        <v>54</v>
      </c>
      <c r="L147" s="7">
        <v>45269</v>
      </c>
      <c r="M147" t="s">
        <v>5029</v>
      </c>
      <c r="N147">
        <v>10</v>
      </c>
      <c r="O147">
        <v>8351</v>
      </c>
    </row>
    <row r="148" spans="1:15" x14ac:dyDescent="0.3">
      <c r="A148" t="s">
        <v>566</v>
      </c>
      <c r="B148" t="s">
        <v>1566</v>
      </c>
      <c r="C148" t="s">
        <v>2566</v>
      </c>
      <c r="D148" t="s">
        <v>3566</v>
      </c>
      <c r="E148" t="s">
        <v>4566</v>
      </c>
      <c r="F148">
        <v>56</v>
      </c>
      <c r="G148" t="s">
        <v>5017</v>
      </c>
      <c r="H148" t="s">
        <v>5018</v>
      </c>
      <c r="I148" t="s">
        <v>5027</v>
      </c>
      <c r="J148">
        <v>41159</v>
      </c>
      <c r="K148">
        <v>56</v>
      </c>
      <c r="L148" s="7">
        <v>45083</v>
      </c>
      <c r="M148" t="s">
        <v>5029</v>
      </c>
      <c r="N148">
        <v>2</v>
      </c>
      <c r="O148">
        <v>3166</v>
      </c>
    </row>
    <row r="149" spans="1:15" x14ac:dyDescent="0.3">
      <c r="A149" t="s">
        <v>28</v>
      </c>
      <c r="B149" t="s">
        <v>1028</v>
      </c>
      <c r="C149" t="s">
        <v>2028</v>
      </c>
      <c r="D149" t="s">
        <v>3028</v>
      </c>
      <c r="E149" t="s">
        <v>4028</v>
      </c>
      <c r="F149">
        <v>68</v>
      </c>
      <c r="G149" t="s">
        <v>5015</v>
      </c>
      <c r="H149" t="s">
        <v>5020</v>
      </c>
      <c r="I149" t="s">
        <v>5026</v>
      </c>
      <c r="J149">
        <v>41337</v>
      </c>
      <c r="K149">
        <v>50</v>
      </c>
      <c r="L149" s="7">
        <v>45222</v>
      </c>
      <c r="M149" t="s">
        <v>5028</v>
      </c>
      <c r="N149">
        <v>8</v>
      </c>
      <c r="O149">
        <v>1454</v>
      </c>
    </row>
    <row r="150" spans="1:15" x14ac:dyDescent="0.3">
      <c r="A150" t="s">
        <v>546</v>
      </c>
      <c r="B150" t="s">
        <v>1546</v>
      </c>
      <c r="C150" t="s">
        <v>2546</v>
      </c>
      <c r="D150" t="s">
        <v>3546</v>
      </c>
      <c r="E150" t="s">
        <v>4546</v>
      </c>
      <c r="F150">
        <v>38</v>
      </c>
      <c r="G150" t="s">
        <v>5015</v>
      </c>
      <c r="H150" t="s">
        <v>5021</v>
      </c>
      <c r="I150" t="s">
        <v>5024</v>
      </c>
      <c r="J150">
        <v>41492</v>
      </c>
      <c r="K150">
        <v>76</v>
      </c>
      <c r="L150" s="7">
        <v>45014</v>
      </c>
      <c r="M150" t="s">
        <v>5029</v>
      </c>
      <c r="N150">
        <v>3</v>
      </c>
      <c r="O150">
        <v>2840</v>
      </c>
    </row>
    <row r="151" spans="1:15" x14ac:dyDescent="0.3">
      <c r="A151" t="s">
        <v>940</v>
      </c>
      <c r="B151" t="s">
        <v>1940</v>
      </c>
      <c r="C151" t="s">
        <v>2940</v>
      </c>
      <c r="D151" t="s">
        <v>3940</v>
      </c>
      <c r="E151" t="s">
        <v>4940</v>
      </c>
      <c r="F151">
        <v>34</v>
      </c>
      <c r="G151" t="s">
        <v>5017</v>
      </c>
      <c r="H151" t="s">
        <v>5022</v>
      </c>
      <c r="I151" t="s">
        <v>5027</v>
      </c>
      <c r="J151">
        <v>41564</v>
      </c>
      <c r="K151">
        <v>41</v>
      </c>
      <c r="L151" s="7">
        <v>45202</v>
      </c>
      <c r="M151" t="s">
        <v>5028</v>
      </c>
      <c r="N151">
        <v>6</v>
      </c>
      <c r="O151">
        <v>4563</v>
      </c>
    </row>
    <row r="152" spans="1:15" x14ac:dyDescent="0.3">
      <c r="A152" t="s">
        <v>384</v>
      </c>
      <c r="B152" t="s">
        <v>1384</v>
      </c>
      <c r="C152" t="s">
        <v>2384</v>
      </c>
      <c r="D152" t="s">
        <v>3384</v>
      </c>
      <c r="E152" t="s">
        <v>4384</v>
      </c>
      <c r="F152">
        <v>64</v>
      </c>
      <c r="G152" t="s">
        <v>5017</v>
      </c>
      <c r="H152" t="s">
        <v>5022</v>
      </c>
      <c r="I152" t="s">
        <v>5025</v>
      </c>
      <c r="J152">
        <v>41688</v>
      </c>
      <c r="K152">
        <v>99</v>
      </c>
      <c r="L152" s="7">
        <v>44928</v>
      </c>
      <c r="M152" t="s">
        <v>5030</v>
      </c>
      <c r="N152">
        <v>6</v>
      </c>
      <c r="O152">
        <v>3398</v>
      </c>
    </row>
    <row r="153" spans="1:15" x14ac:dyDescent="0.3">
      <c r="A153" t="s">
        <v>104</v>
      </c>
      <c r="B153" t="s">
        <v>1104</v>
      </c>
      <c r="C153" t="s">
        <v>2104</v>
      </c>
      <c r="D153" t="s">
        <v>3104</v>
      </c>
      <c r="E153" t="s">
        <v>4104</v>
      </c>
      <c r="F153">
        <v>51</v>
      </c>
      <c r="G153" t="s">
        <v>5015</v>
      </c>
      <c r="H153" t="s">
        <v>5020</v>
      </c>
      <c r="I153" t="s">
        <v>5026</v>
      </c>
      <c r="J153">
        <v>41778</v>
      </c>
      <c r="K153">
        <v>89</v>
      </c>
      <c r="L153" s="7">
        <v>45278</v>
      </c>
      <c r="M153" t="s">
        <v>5028</v>
      </c>
      <c r="N153">
        <v>5</v>
      </c>
      <c r="O153">
        <v>839</v>
      </c>
    </row>
    <row r="154" spans="1:15" x14ac:dyDescent="0.3">
      <c r="A154" t="s">
        <v>110</v>
      </c>
      <c r="B154" t="s">
        <v>1110</v>
      </c>
      <c r="C154" t="s">
        <v>2110</v>
      </c>
      <c r="D154" t="s">
        <v>3110</v>
      </c>
      <c r="E154" t="s">
        <v>4110</v>
      </c>
      <c r="F154">
        <v>42</v>
      </c>
      <c r="G154" t="s">
        <v>5016</v>
      </c>
      <c r="H154" t="s">
        <v>5021</v>
      </c>
      <c r="I154" t="s">
        <v>5024</v>
      </c>
      <c r="J154">
        <v>41813</v>
      </c>
      <c r="K154">
        <v>82</v>
      </c>
      <c r="L154" s="7">
        <v>45139</v>
      </c>
      <c r="M154" t="s">
        <v>5028</v>
      </c>
      <c r="N154">
        <v>8</v>
      </c>
      <c r="O154">
        <v>5752</v>
      </c>
    </row>
    <row r="155" spans="1:15" x14ac:dyDescent="0.3">
      <c r="A155" t="s">
        <v>679</v>
      </c>
      <c r="B155" t="s">
        <v>1679</v>
      </c>
      <c r="C155" t="s">
        <v>2679</v>
      </c>
      <c r="D155" t="s">
        <v>3679</v>
      </c>
      <c r="E155" t="s">
        <v>4679</v>
      </c>
      <c r="F155">
        <v>64</v>
      </c>
      <c r="G155" t="s">
        <v>5016</v>
      </c>
      <c r="H155" t="s">
        <v>5022</v>
      </c>
      <c r="I155" t="s">
        <v>5026</v>
      </c>
      <c r="J155">
        <v>41908</v>
      </c>
      <c r="K155">
        <v>80</v>
      </c>
      <c r="L155" s="7">
        <v>45186</v>
      </c>
      <c r="M155" t="s">
        <v>5030</v>
      </c>
      <c r="N155">
        <v>4</v>
      </c>
      <c r="O155">
        <v>4526</v>
      </c>
    </row>
    <row r="156" spans="1:15" x14ac:dyDescent="0.3">
      <c r="A156" t="s">
        <v>133</v>
      </c>
      <c r="B156" t="s">
        <v>1133</v>
      </c>
      <c r="C156" t="s">
        <v>2133</v>
      </c>
      <c r="D156" t="s">
        <v>3133</v>
      </c>
      <c r="E156" t="s">
        <v>4133</v>
      </c>
      <c r="F156">
        <v>68</v>
      </c>
      <c r="G156" t="s">
        <v>5015</v>
      </c>
      <c r="H156" t="s">
        <v>5019</v>
      </c>
      <c r="I156" t="s">
        <v>5024</v>
      </c>
      <c r="J156">
        <v>42072</v>
      </c>
      <c r="K156">
        <v>1</v>
      </c>
      <c r="L156" s="7">
        <v>45177</v>
      </c>
      <c r="M156" t="s">
        <v>5030</v>
      </c>
      <c r="N156">
        <v>6</v>
      </c>
      <c r="O156">
        <v>2728</v>
      </c>
    </row>
    <row r="157" spans="1:15" x14ac:dyDescent="0.3">
      <c r="A157" t="s">
        <v>29</v>
      </c>
      <c r="B157" t="s">
        <v>1029</v>
      </c>
      <c r="C157" t="s">
        <v>2029</v>
      </c>
      <c r="D157" t="s">
        <v>3029</v>
      </c>
      <c r="E157" t="s">
        <v>4029</v>
      </c>
      <c r="F157">
        <v>34</v>
      </c>
      <c r="G157" t="s">
        <v>5017</v>
      </c>
      <c r="H157" t="s">
        <v>5018</v>
      </c>
      <c r="I157" t="s">
        <v>5024</v>
      </c>
      <c r="J157">
        <v>42076</v>
      </c>
      <c r="K157">
        <v>27</v>
      </c>
      <c r="L157" s="7">
        <v>45256</v>
      </c>
      <c r="M157" t="s">
        <v>5030</v>
      </c>
      <c r="N157">
        <v>2</v>
      </c>
      <c r="O157">
        <v>4940</v>
      </c>
    </row>
    <row r="158" spans="1:15" x14ac:dyDescent="0.3">
      <c r="A158" t="s">
        <v>121</v>
      </c>
      <c r="B158" t="s">
        <v>1121</v>
      </c>
      <c r="C158" t="s">
        <v>2121</v>
      </c>
      <c r="D158" t="s">
        <v>3121</v>
      </c>
      <c r="E158" t="s">
        <v>4121</v>
      </c>
      <c r="F158">
        <v>58</v>
      </c>
      <c r="G158" t="s">
        <v>5015</v>
      </c>
      <c r="H158" t="s">
        <v>5018</v>
      </c>
      <c r="I158" t="s">
        <v>5025</v>
      </c>
      <c r="J158">
        <v>42245</v>
      </c>
      <c r="K158">
        <v>11</v>
      </c>
      <c r="L158" s="7">
        <v>45224</v>
      </c>
      <c r="M158" t="s">
        <v>5030</v>
      </c>
      <c r="N158">
        <v>7</v>
      </c>
      <c r="O158">
        <v>1156</v>
      </c>
    </row>
    <row r="159" spans="1:15" x14ac:dyDescent="0.3">
      <c r="A159" t="s">
        <v>78</v>
      </c>
      <c r="B159" t="s">
        <v>1078</v>
      </c>
      <c r="C159" t="s">
        <v>2078</v>
      </c>
      <c r="D159" t="s">
        <v>3078</v>
      </c>
      <c r="E159" t="s">
        <v>4078</v>
      </c>
      <c r="F159">
        <v>70</v>
      </c>
      <c r="G159" t="s">
        <v>5017</v>
      </c>
      <c r="H159" t="s">
        <v>5018</v>
      </c>
      <c r="I159" t="s">
        <v>5027</v>
      </c>
      <c r="J159">
        <v>42470</v>
      </c>
      <c r="K159">
        <v>77</v>
      </c>
      <c r="L159" s="7">
        <v>45263</v>
      </c>
      <c r="M159" t="s">
        <v>5030</v>
      </c>
      <c r="N159">
        <v>7</v>
      </c>
      <c r="O159">
        <v>8540</v>
      </c>
    </row>
    <row r="160" spans="1:15" x14ac:dyDescent="0.3">
      <c r="A160" t="s">
        <v>234</v>
      </c>
      <c r="B160" t="s">
        <v>1234</v>
      </c>
      <c r="C160" t="s">
        <v>2234</v>
      </c>
      <c r="D160" t="s">
        <v>3234</v>
      </c>
      <c r="E160" t="s">
        <v>4234</v>
      </c>
      <c r="F160">
        <v>31</v>
      </c>
      <c r="G160" t="s">
        <v>5016</v>
      </c>
      <c r="H160" t="s">
        <v>5022</v>
      </c>
      <c r="I160" t="s">
        <v>5023</v>
      </c>
      <c r="J160">
        <v>42621</v>
      </c>
      <c r="K160">
        <v>100</v>
      </c>
      <c r="L160" s="7">
        <v>45063</v>
      </c>
      <c r="M160" t="s">
        <v>5030</v>
      </c>
      <c r="N160">
        <v>6</v>
      </c>
      <c r="O160">
        <v>6177</v>
      </c>
    </row>
    <row r="161" spans="1:15" x14ac:dyDescent="0.3">
      <c r="A161" t="s">
        <v>702</v>
      </c>
      <c r="B161" t="s">
        <v>1702</v>
      </c>
      <c r="C161" t="s">
        <v>2702</v>
      </c>
      <c r="D161" t="s">
        <v>3702</v>
      </c>
      <c r="E161" t="s">
        <v>4702</v>
      </c>
      <c r="F161">
        <v>47</v>
      </c>
      <c r="G161" t="s">
        <v>5016</v>
      </c>
      <c r="H161" t="s">
        <v>5019</v>
      </c>
      <c r="I161" t="s">
        <v>5027</v>
      </c>
      <c r="J161">
        <v>42908</v>
      </c>
      <c r="K161">
        <v>33</v>
      </c>
      <c r="L161" s="7">
        <v>45051</v>
      </c>
      <c r="M161" t="s">
        <v>5028</v>
      </c>
      <c r="N161">
        <v>8</v>
      </c>
      <c r="O161">
        <v>3665</v>
      </c>
    </row>
    <row r="162" spans="1:15" x14ac:dyDescent="0.3">
      <c r="A162" t="s">
        <v>691</v>
      </c>
      <c r="B162" t="s">
        <v>1691</v>
      </c>
      <c r="C162" t="s">
        <v>2691</v>
      </c>
      <c r="D162" t="s">
        <v>3691</v>
      </c>
      <c r="E162" t="s">
        <v>4691</v>
      </c>
      <c r="F162">
        <v>63</v>
      </c>
      <c r="G162" t="s">
        <v>5015</v>
      </c>
      <c r="H162" t="s">
        <v>5021</v>
      </c>
      <c r="I162" t="s">
        <v>5026</v>
      </c>
      <c r="J162">
        <v>42995</v>
      </c>
      <c r="K162">
        <v>42</v>
      </c>
      <c r="L162" s="7">
        <v>45181</v>
      </c>
      <c r="M162" t="s">
        <v>5029</v>
      </c>
      <c r="N162">
        <v>9</v>
      </c>
      <c r="O162">
        <v>4840</v>
      </c>
    </row>
    <row r="163" spans="1:15" x14ac:dyDescent="0.3">
      <c r="A163" t="s">
        <v>321</v>
      </c>
      <c r="B163" t="s">
        <v>1321</v>
      </c>
      <c r="C163" t="s">
        <v>2321</v>
      </c>
      <c r="D163" t="s">
        <v>3321</v>
      </c>
      <c r="E163" t="s">
        <v>4321</v>
      </c>
      <c r="F163">
        <v>21</v>
      </c>
      <c r="G163" t="s">
        <v>5016</v>
      </c>
      <c r="H163" t="s">
        <v>5022</v>
      </c>
      <c r="I163" t="s">
        <v>5026</v>
      </c>
      <c r="J163">
        <v>43008</v>
      </c>
      <c r="K163">
        <v>6</v>
      </c>
      <c r="L163" s="7">
        <v>45123</v>
      </c>
      <c r="M163" t="s">
        <v>5028</v>
      </c>
      <c r="N163">
        <v>7</v>
      </c>
      <c r="O163">
        <v>8179</v>
      </c>
    </row>
    <row r="164" spans="1:15" x14ac:dyDescent="0.3">
      <c r="A164" t="s">
        <v>378</v>
      </c>
      <c r="B164" t="s">
        <v>1378</v>
      </c>
      <c r="C164" t="s">
        <v>2378</v>
      </c>
      <c r="D164" t="s">
        <v>3378</v>
      </c>
      <c r="E164" t="s">
        <v>4378</v>
      </c>
      <c r="F164">
        <v>42</v>
      </c>
      <c r="G164" t="s">
        <v>5016</v>
      </c>
      <c r="H164" t="s">
        <v>5022</v>
      </c>
      <c r="I164" t="s">
        <v>5023</v>
      </c>
      <c r="J164">
        <v>43061</v>
      </c>
      <c r="K164">
        <v>9</v>
      </c>
      <c r="L164" s="7">
        <v>45275</v>
      </c>
      <c r="M164" t="s">
        <v>5029</v>
      </c>
      <c r="N164">
        <v>1</v>
      </c>
      <c r="O164">
        <v>906</v>
      </c>
    </row>
    <row r="165" spans="1:15" x14ac:dyDescent="0.3">
      <c r="A165" t="s">
        <v>292</v>
      </c>
      <c r="B165" t="s">
        <v>1292</v>
      </c>
      <c r="C165" t="s">
        <v>2292</v>
      </c>
      <c r="D165" t="s">
        <v>3292</v>
      </c>
      <c r="E165" t="s">
        <v>4292</v>
      </c>
      <c r="F165">
        <v>56</v>
      </c>
      <c r="G165" t="s">
        <v>5016</v>
      </c>
      <c r="H165" t="s">
        <v>5021</v>
      </c>
      <c r="I165" t="s">
        <v>5024</v>
      </c>
      <c r="J165">
        <v>43104</v>
      </c>
      <c r="K165">
        <v>100</v>
      </c>
      <c r="L165" s="7">
        <v>45224</v>
      </c>
      <c r="M165" t="s">
        <v>5028</v>
      </c>
      <c r="N165">
        <v>2</v>
      </c>
      <c r="O165">
        <v>9046</v>
      </c>
    </row>
    <row r="166" spans="1:15" x14ac:dyDescent="0.3">
      <c r="A166" t="s">
        <v>1007</v>
      </c>
      <c r="B166" t="s">
        <v>2007</v>
      </c>
      <c r="C166" t="s">
        <v>3007</v>
      </c>
      <c r="D166" t="s">
        <v>4007</v>
      </c>
      <c r="E166" t="s">
        <v>5007</v>
      </c>
      <c r="F166">
        <v>63</v>
      </c>
      <c r="G166" t="s">
        <v>5016</v>
      </c>
      <c r="H166" t="s">
        <v>5018</v>
      </c>
      <c r="I166" t="s">
        <v>5025</v>
      </c>
      <c r="J166">
        <v>43186</v>
      </c>
      <c r="K166">
        <v>17</v>
      </c>
      <c r="L166" s="7">
        <v>45045</v>
      </c>
      <c r="M166" t="s">
        <v>5030</v>
      </c>
      <c r="N166">
        <v>5</v>
      </c>
      <c r="O166">
        <v>7753</v>
      </c>
    </row>
    <row r="167" spans="1:15" x14ac:dyDescent="0.3">
      <c r="A167" t="s">
        <v>896</v>
      </c>
      <c r="B167" t="s">
        <v>1896</v>
      </c>
      <c r="C167" t="s">
        <v>2896</v>
      </c>
      <c r="D167" t="s">
        <v>3896</v>
      </c>
      <c r="E167" t="s">
        <v>4896</v>
      </c>
      <c r="F167">
        <v>44</v>
      </c>
      <c r="G167" t="s">
        <v>5016</v>
      </c>
      <c r="H167" t="s">
        <v>5018</v>
      </c>
      <c r="I167" t="s">
        <v>5025</v>
      </c>
      <c r="J167">
        <v>43325</v>
      </c>
      <c r="K167">
        <v>30</v>
      </c>
      <c r="L167" s="7">
        <v>45083</v>
      </c>
      <c r="M167" t="s">
        <v>5028</v>
      </c>
      <c r="N167">
        <v>3</v>
      </c>
      <c r="O167">
        <v>8360</v>
      </c>
    </row>
    <row r="168" spans="1:15" x14ac:dyDescent="0.3">
      <c r="A168" t="s">
        <v>763</v>
      </c>
      <c r="B168" t="s">
        <v>1763</v>
      </c>
      <c r="C168" t="s">
        <v>2763</v>
      </c>
      <c r="D168" t="s">
        <v>3763</v>
      </c>
      <c r="E168" t="s">
        <v>4763</v>
      </c>
      <c r="F168">
        <v>69</v>
      </c>
      <c r="G168" t="s">
        <v>5016</v>
      </c>
      <c r="H168" t="s">
        <v>5018</v>
      </c>
      <c r="I168" t="s">
        <v>5026</v>
      </c>
      <c r="J168">
        <v>43334</v>
      </c>
      <c r="K168">
        <v>70</v>
      </c>
      <c r="L168" s="7">
        <v>44974</v>
      </c>
      <c r="M168" t="s">
        <v>5028</v>
      </c>
      <c r="N168">
        <v>3</v>
      </c>
      <c r="O168">
        <v>7108</v>
      </c>
    </row>
    <row r="169" spans="1:15" x14ac:dyDescent="0.3">
      <c r="A169" t="s">
        <v>166</v>
      </c>
      <c r="B169" t="s">
        <v>1166</v>
      </c>
      <c r="C169" t="s">
        <v>2166</v>
      </c>
      <c r="D169" t="s">
        <v>3166</v>
      </c>
      <c r="E169" t="s">
        <v>4166</v>
      </c>
      <c r="F169">
        <v>53</v>
      </c>
      <c r="G169" t="s">
        <v>5015</v>
      </c>
      <c r="H169" t="s">
        <v>5018</v>
      </c>
      <c r="I169" t="s">
        <v>5027</v>
      </c>
      <c r="J169">
        <v>43443</v>
      </c>
      <c r="K169">
        <v>29</v>
      </c>
      <c r="L169" s="7">
        <v>45203</v>
      </c>
      <c r="M169" t="s">
        <v>5030</v>
      </c>
      <c r="N169">
        <v>6</v>
      </c>
      <c r="O169">
        <v>5179</v>
      </c>
    </row>
    <row r="170" spans="1:15" x14ac:dyDescent="0.3">
      <c r="A170" t="s">
        <v>998</v>
      </c>
      <c r="B170" t="s">
        <v>1998</v>
      </c>
      <c r="C170" t="s">
        <v>2998</v>
      </c>
      <c r="D170" t="s">
        <v>3998</v>
      </c>
      <c r="E170" t="s">
        <v>4998</v>
      </c>
      <c r="F170">
        <v>59</v>
      </c>
      <c r="G170" t="s">
        <v>5016</v>
      </c>
      <c r="H170" t="s">
        <v>5020</v>
      </c>
      <c r="I170" t="s">
        <v>5025</v>
      </c>
      <c r="J170">
        <v>43644</v>
      </c>
      <c r="K170">
        <v>60</v>
      </c>
      <c r="L170" s="7">
        <v>44928</v>
      </c>
      <c r="M170" t="s">
        <v>5030</v>
      </c>
      <c r="N170">
        <v>8</v>
      </c>
      <c r="O170">
        <v>3666</v>
      </c>
    </row>
    <row r="171" spans="1:15" x14ac:dyDescent="0.3">
      <c r="A171" t="s">
        <v>248</v>
      </c>
      <c r="B171" t="s">
        <v>1248</v>
      </c>
      <c r="C171" t="s">
        <v>2248</v>
      </c>
      <c r="D171" t="s">
        <v>3248</v>
      </c>
      <c r="E171" t="s">
        <v>4248</v>
      </c>
      <c r="F171">
        <v>41</v>
      </c>
      <c r="G171" t="s">
        <v>5016</v>
      </c>
      <c r="H171" t="s">
        <v>5021</v>
      </c>
      <c r="I171" t="s">
        <v>5025</v>
      </c>
      <c r="J171">
        <v>43674</v>
      </c>
      <c r="K171">
        <v>92</v>
      </c>
      <c r="L171" s="7">
        <v>44940</v>
      </c>
      <c r="M171" t="s">
        <v>5030</v>
      </c>
      <c r="N171">
        <v>4</v>
      </c>
      <c r="O171">
        <v>7174</v>
      </c>
    </row>
    <row r="172" spans="1:15" x14ac:dyDescent="0.3">
      <c r="A172" t="s">
        <v>387</v>
      </c>
      <c r="B172" t="s">
        <v>1387</v>
      </c>
      <c r="C172" t="s">
        <v>2387</v>
      </c>
      <c r="D172" t="s">
        <v>3387</v>
      </c>
      <c r="E172" t="s">
        <v>4387</v>
      </c>
      <c r="F172">
        <v>58</v>
      </c>
      <c r="G172" t="s">
        <v>5015</v>
      </c>
      <c r="H172" t="s">
        <v>5018</v>
      </c>
      <c r="I172" t="s">
        <v>5027</v>
      </c>
      <c r="J172">
        <v>43791</v>
      </c>
      <c r="K172">
        <v>68</v>
      </c>
      <c r="L172" s="7">
        <v>44953</v>
      </c>
      <c r="M172" t="s">
        <v>5029</v>
      </c>
      <c r="N172">
        <v>8</v>
      </c>
      <c r="O172">
        <v>4007</v>
      </c>
    </row>
    <row r="173" spans="1:15" x14ac:dyDescent="0.3">
      <c r="A173" t="s">
        <v>980</v>
      </c>
      <c r="B173" t="s">
        <v>1980</v>
      </c>
      <c r="C173" t="s">
        <v>2980</v>
      </c>
      <c r="D173" t="s">
        <v>3980</v>
      </c>
      <c r="E173" t="s">
        <v>4980</v>
      </c>
      <c r="F173">
        <v>18</v>
      </c>
      <c r="G173" t="s">
        <v>5015</v>
      </c>
      <c r="H173" t="s">
        <v>5019</v>
      </c>
      <c r="I173" t="s">
        <v>5025</v>
      </c>
      <c r="J173">
        <v>43858</v>
      </c>
      <c r="K173">
        <v>26</v>
      </c>
      <c r="L173" s="7">
        <v>45255</v>
      </c>
      <c r="M173" t="s">
        <v>5029</v>
      </c>
      <c r="N173">
        <v>8</v>
      </c>
      <c r="O173">
        <v>5192</v>
      </c>
    </row>
    <row r="174" spans="1:15" x14ac:dyDescent="0.3">
      <c r="A174" t="s">
        <v>831</v>
      </c>
      <c r="B174" t="s">
        <v>1831</v>
      </c>
      <c r="C174" t="s">
        <v>2831</v>
      </c>
      <c r="D174" t="s">
        <v>3831</v>
      </c>
      <c r="E174" t="s">
        <v>4831</v>
      </c>
      <c r="F174">
        <v>62</v>
      </c>
      <c r="G174" t="s">
        <v>5016</v>
      </c>
      <c r="H174" t="s">
        <v>5019</v>
      </c>
      <c r="I174" t="s">
        <v>5024</v>
      </c>
      <c r="J174">
        <v>43870</v>
      </c>
      <c r="K174">
        <v>59</v>
      </c>
      <c r="L174" s="7">
        <v>45292</v>
      </c>
      <c r="M174" t="s">
        <v>5029</v>
      </c>
      <c r="N174">
        <v>7</v>
      </c>
      <c r="O174">
        <v>1980</v>
      </c>
    </row>
    <row r="175" spans="1:15" x14ac:dyDescent="0.3">
      <c r="A175" t="s">
        <v>882</v>
      </c>
      <c r="B175" t="s">
        <v>1882</v>
      </c>
      <c r="C175" t="s">
        <v>2882</v>
      </c>
      <c r="D175" t="s">
        <v>3882</v>
      </c>
      <c r="E175" t="s">
        <v>4882</v>
      </c>
      <c r="F175">
        <v>35</v>
      </c>
      <c r="G175" t="s">
        <v>5016</v>
      </c>
      <c r="H175" t="s">
        <v>5018</v>
      </c>
      <c r="I175" t="s">
        <v>5027</v>
      </c>
      <c r="J175">
        <v>44031</v>
      </c>
      <c r="K175">
        <v>97</v>
      </c>
      <c r="L175" s="7">
        <v>45075</v>
      </c>
      <c r="M175" t="s">
        <v>5029</v>
      </c>
      <c r="N175">
        <v>7</v>
      </c>
      <c r="O175">
        <v>4329</v>
      </c>
    </row>
    <row r="176" spans="1:15" x14ac:dyDescent="0.3">
      <c r="A176" t="s">
        <v>573</v>
      </c>
      <c r="B176" t="s">
        <v>1573</v>
      </c>
      <c r="C176" t="s">
        <v>2573</v>
      </c>
      <c r="D176" t="s">
        <v>3573</v>
      </c>
      <c r="E176" t="s">
        <v>4573</v>
      </c>
      <c r="F176">
        <v>28</v>
      </c>
      <c r="G176" t="s">
        <v>5017</v>
      </c>
      <c r="H176" t="s">
        <v>5019</v>
      </c>
      <c r="I176" t="s">
        <v>5024</v>
      </c>
      <c r="J176">
        <v>44068</v>
      </c>
      <c r="K176">
        <v>84</v>
      </c>
      <c r="L176" s="7">
        <v>45231</v>
      </c>
      <c r="M176" t="s">
        <v>5030</v>
      </c>
      <c r="N176">
        <v>7</v>
      </c>
      <c r="O176">
        <v>4134</v>
      </c>
    </row>
    <row r="177" spans="1:15" x14ac:dyDescent="0.3">
      <c r="A177" t="s">
        <v>773</v>
      </c>
      <c r="B177" t="s">
        <v>1773</v>
      </c>
      <c r="C177" t="s">
        <v>2773</v>
      </c>
      <c r="D177" t="s">
        <v>3773</v>
      </c>
      <c r="E177" t="s">
        <v>4773</v>
      </c>
      <c r="F177">
        <v>26</v>
      </c>
      <c r="G177" t="s">
        <v>5016</v>
      </c>
      <c r="H177" t="s">
        <v>5020</v>
      </c>
      <c r="I177" t="s">
        <v>5025</v>
      </c>
      <c r="J177">
        <v>44361</v>
      </c>
      <c r="K177">
        <v>78</v>
      </c>
      <c r="L177" s="7">
        <v>45149</v>
      </c>
      <c r="M177" t="s">
        <v>5030</v>
      </c>
      <c r="N177">
        <v>4</v>
      </c>
      <c r="O177">
        <v>7234</v>
      </c>
    </row>
    <row r="178" spans="1:15" x14ac:dyDescent="0.3">
      <c r="A178" t="s">
        <v>927</v>
      </c>
      <c r="B178" t="s">
        <v>1927</v>
      </c>
      <c r="C178" t="s">
        <v>2927</v>
      </c>
      <c r="D178" t="s">
        <v>3927</v>
      </c>
      <c r="E178" t="s">
        <v>4927</v>
      </c>
      <c r="F178">
        <v>52</v>
      </c>
      <c r="G178" t="s">
        <v>5015</v>
      </c>
      <c r="H178" t="s">
        <v>5019</v>
      </c>
      <c r="I178" t="s">
        <v>5026</v>
      </c>
      <c r="J178">
        <v>44686</v>
      </c>
      <c r="K178">
        <v>2</v>
      </c>
      <c r="L178" s="7">
        <v>45038</v>
      </c>
      <c r="M178" t="s">
        <v>5028</v>
      </c>
      <c r="N178">
        <v>7</v>
      </c>
      <c r="O178">
        <v>1515</v>
      </c>
    </row>
    <row r="179" spans="1:15" x14ac:dyDescent="0.3">
      <c r="A179" t="s">
        <v>720</v>
      </c>
      <c r="B179" t="s">
        <v>1720</v>
      </c>
      <c r="C179" t="s">
        <v>2720</v>
      </c>
      <c r="D179" t="s">
        <v>3720</v>
      </c>
      <c r="E179" t="s">
        <v>4720</v>
      </c>
      <c r="F179">
        <v>57</v>
      </c>
      <c r="G179" t="s">
        <v>5015</v>
      </c>
      <c r="H179" t="s">
        <v>5021</v>
      </c>
      <c r="I179" t="s">
        <v>5025</v>
      </c>
      <c r="J179">
        <v>44726</v>
      </c>
      <c r="K179">
        <v>89</v>
      </c>
      <c r="L179" s="7">
        <v>45105</v>
      </c>
      <c r="M179" t="s">
        <v>5028</v>
      </c>
      <c r="N179">
        <v>2</v>
      </c>
      <c r="O179">
        <v>568</v>
      </c>
    </row>
    <row r="180" spans="1:15" x14ac:dyDescent="0.3">
      <c r="A180" t="s">
        <v>864</v>
      </c>
      <c r="B180" t="s">
        <v>1864</v>
      </c>
      <c r="C180" t="s">
        <v>2864</v>
      </c>
      <c r="D180" t="s">
        <v>3864</v>
      </c>
      <c r="E180" t="s">
        <v>4864</v>
      </c>
      <c r="F180">
        <v>23</v>
      </c>
      <c r="G180" t="s">
        <v>5017</v>
      </c>
      <c r="H180" t="s">
        <v>5020</v>
      </c>
      <c r="I180" t="s">
        <v>5025</v>
      </c>
      <c r="J180">
        <v>45249</v>
      </c>
      <c r="K180">
        <v>91</v>
      </c>
      <c r="L180" s="7">
        <v>45043</v>
      </c>
      <c r="M180" t="s">
        <v>5028</v>
      </c>
      <c r="N180">
        <v>4</v>
      </c>
      <c r="O180">
        <v>4328</v>
      </c>
    </row>
    <row r="181" spans="1:15" x14ac:dyDescent="0.3">
      <c r="A181" t="s">
        <v>297</v>
      </c>
      <c r="B181" t="s">
        <v>1297</v>
      </c>
      <c r="C181" t="s">
        <v>2297</v>
      </c>
      <c r="D181" t="s">
        <v>3297</v>
      </c>
      <c r="E181" t="s">
        <v>4297</v>
      </c>
      <c r="F181">
        <v>25</v>
      </c>
      <c r="G181" t="s">
        <v>5016</v>
      </c>
      <c r="H181" t="s">
        <v>5022</v>
      </c>
      <c r="I181" t="s">
        <v>5026</v>
      </c>
      <c r="J181">
        <v>45435</v>
      </c>
      <c r="K181">
        <v>66</v>
      </c>
      <c r="L181" s="7">
        <v>45110</v>
      </c>
      <c r="M181" t="s">
        <v>5029</v>
      </c>
      <c r="N181">
        <v>9</v>
      </c>
      <c r="O181">
        <v>7570</v>
      </c>
    </row>
    <row r="182" spans="1:15" x14ac:dyDescent="0.3">
      <c r="A182" t="s">
        <v>194</v>
      </c>
      <c r="B182" t="s">
        <v>1194</v>
      </c>
      <c r="C182" t="s">
        <v>2194</v>
      </c>
      <c r="D182" t="s">
        <v>3194</v>
      </c>
      <c r="E182" t="s">
        <v>4194</v>
      </c>
      <c r="F182">
        <v>60</v>
      </c>
      <c r="G182" t="s">
        <v>5017</v>
      </c>
      <c r="H182" t="s">
        <v>5018</v>
      </c>
      <c r="I182" t="s">
        <v>5025</v>
      </c>
      <c r="J182">
        <v>45442</v>
      </c>
      <c r="K182">
        <v>43</v>
      </c>
      <c r="L182" s="7">
        <v>45106</v>
      </c>
      <c r="M182" t="s">
        <v>5030</v>
      </c>
      <c r="N182">
        <v>3</v>
      </c>
      <c r="O182">
        <v>1252</v>
      </c>
    </row>
    <row r="183" spans="1:15" x14ac:dyDescent="0.3">
      <c r="A183" t="s">
        <v>426</v>
      </c>
      <c r="B183" t="s">
        <v>1426</v>
      </c>
      <c r="C183" t="s">
        <v>2426</v>
      </c>
      <c r="D183" t="s">
        <v>3426</v>
      </c>
      <c r="E183" t="s">
        <v>4426</v>
      </c>
      <c r="F183">
        <v>58</v>
      </c>
      <c r="G183" t="s">
        <v>5015</v>
      </c>
      <c r="H183" t="s">
        <v>5020</v>
      </c>
      <c r="I183" t="s">
        <v>5026</v>
      </c>
      <c r="J183">
        <v>45443</v>
      </c>
      <c r="K183">
        <v>43</v>
      </c>
      <c r="L183" s="7">
        <v>45148</v>
      </c>
      <c r="M183" t="s">
        <v>5029</v>
      </c>
      <c r="N183">
        <v>2</v>
      </c>
      <c r="O183">
        <v>442</v>
      </c>
    </row>
    <row r="184" spans="1:15" x14ac:dyDescent="0.3">
      <c r="A184" t="s">
        <v>489</v>
      </c>
      <c r="B184" t="s">
        <v>1489</v>
      </c>
      <c r="C184" t="s">
        <v>2489</v>
      </c>
      <c r="D184" t="s">
        <v>3489</v>
      </c>
      <c r="E184" t="s">
        <v>4489</v>
      </c>
      <c r="F184">
        <v>31</v>
      </c>
      <c r="G184" t="s">
        <v>5017</v>
      </c>
      <c r="H184" t="s">
        <v>5019</v>
      </c>
      <c r="I184" t="s">
        <v>5026</v>
      </c>
      <c r="J184">
        <v>46039</v>
      </c>
      <c r="K184">
        <v>0</v>
      </c>
      <c r="L184" s="7">
        <v>44983</v>
      </c>
      <c r="M184" t="s">
        <v>5030</v>
      </c>
      <c r="N184">
        <v>8</v>
      </c>
      <c r="O184">
        <v>8500</v>
      </c>
    </row>
    <row r="185" spans="1:15" x14ac:dyDescent="0.3">
      <c r="A185" t="s">
        <v>353</v>
      </c>
      <c r="B185" t="s">
        <v>1353</v>
      </c>
      <c r="C185" t="s">
        <v>2353</v>
      </c>
      <c r="D185" t="s">
        <v>3353</v>
      </c>
      <c r="E185" t="s">
        <v>4353</v>
      </c>
      <c r="F185">
        <v>63</v>
      </c>
      <c r="G185" t="s">
        <v>5016</v>
      </c>
      <c r="H185" t="s">
        <v>5019</v>
      </c>
      <c r="I185" t="s">
        <v>5025</v>
      </c>
      <c r="J185">
        <v>46137</v>
      </c>
      <c r="K185">
        <v>14</v>
      </c>
      <c r="L185" s="7">
        <v>45062</v>
      </c>
      <c r="M185" t="s">
        <v>5030</v>
      </c>
      <c r="N185">
        <v>10</v>
      </c>
      <c r="O185">
        <v>8327</v>
      </c>
    </row>
    <row r="186" spans="1:15" x14ac:dyDescent="0.3">
      <c r="A186" t="s">
        <v>187</v>
      </c>
      <c r="B186" t="s">
        <v>1187</v>
      </c>
      <c r="C186" t="s">
        <v>2187</v>
      </c>
      <c r="D186" t="s">
        <v>3187</v>
      </c>
      <c r="E186" t="s">
        <v>4187</v>
      </c>
      <c r="F186">
        <v>68</v>
      </c>
      <c r="G186" t="s">
        <v>5016</v>
      </c>
      <c r="H186" t="s">
        <v>5022</v>
      </c>
      <c r="I186" t="s">
        <v>5026</v>
      </c>
      <c r="J186">
        <v>46195</v>
      </c>
      <c r="K186">
        <v>73</v>
      </c>
      <c r="L186" s="7">
        <v>45008</v>
      </c>
      <c r="M186" t="s">
        <v>5029</v>
      </c>
      <c r="N186">
        <v>5</v>
      </c>
      <c r="O186">
        <v>7959</v>
      </c>
    </row>
    <row r="187" spans="1:15" x14ac:dyDescent="0.3">
      <c r="A187" t="s">
        <v>478</v>
      </c>
      <c r="B187" t="s">
        <v>1478</v>
      </c>
      <c r="C187" t="s">
        <v>2478</v>
      </c>
      <c r="D187" t="s">
        <v>3478</v>
      </c>
      <c r="E187" t="s">
        <v>4478</v>
      </c>
      <c r="F187">
        <v>35</v>
      </c>
      <c r="G187" t="s">
        <v>5016</v>
      </c>
      <c r="H187" t="s">
        <v>5021</v>
      </c>
      <c r="I187" t="s">
        <v>5025</v>
      </c>
      <c r="J187">
        <v>46285</v>
      </c>
      <c r="K187">
        <v>72</v>
      </c>
      <c r="L187" s="7">
        <v>45071</v>
      </c>
      <c r="M187" t="s">
        <v>5028</v>
      </c>
      <c r="N187">
        <v>2</v>
      </c>
      <c r="O187">
        <v>8816</v>
      </c>
    </row>
    <row r="188" spans="1:15" x14ac:dyDescent="0.3">
      <c r="A188" t="s">
        <v>84</v>
      </c>
      <c r="B188" t="s">
        <v>1084</v>
      </c>
      <c r="C188" t="s">
        <v>2084</v>
      </c>
      <c r="D188" t="s">
        <v>3084</v>
      </c>
      <c r="E188" t="s">
        <v>4084</v>
      </c>
      <c r="F188">
        <v>51</v>
      </c>
      <c r="G188" t="s">
        <v>5017</v>
      </c>
      <c r="H188" t="s">
        <v>5018</v>
      </c>
      <c r="I188" t="s">
        <v>5024</v>
      </c>
      <c r="J188">
        <v>46398</v>
      </c>
      <c r="K188">
        <v>50</v>
      </c>
      <c r="L188" s="7">
        <v>45003</v>
      </c>
      <c r="M188" t="s">
        <v>5029</v>
      </c>
      <c r="N188">
        <v>1</v>
      </c>
      <c r="O188">
        <v>8176</v>
      </c>
    </row>
    <row r="189" spans="1:15" x14ac:dyDescent="0.3">
      <c r="A189" t="s">
        <v>59</v>
      </c>
      <c r="B189" t="s">
        <v>1059</v>
      </c>
      <c r="C189" t="s">
        <v>2059</v>
      </c>
      <c r="D189" t="s">
        <v>3059</v>
      </c>
      <c r="E189" t="s">
        <v>4059</v>
      </c>
      <c r="F189">
        <v>68</v>
      </c>
      <c r="G189" t="s">
        <v>5016</v>
      </c>
      <c r="H189" t="s">
        <v>5021</v>
      </c>
      <c r="I189" t="s">
        <v>5024</v>
      </c>
      <c r="J189">
        <v>46409</v>
      </c>
      <c r="K189">
        <v>1</v>
      </c>
      <c r="L189" s="7">
        <v>45248</v>
      </c>
      <c r="M189" t="s">
        <v>5028</v>
      </c>
      <c r="N189">
        <v>6</v>
      </c>
      <c r="O189">
        <v>2340</v>
      </c>
    </row>
    <row r="190" spans="1:15" x14ac:dyDescent="0.3">
      <c r="A190" t="s">
        <v>434</v>
      </c>
      <c r="B190" t="s">
        <v>1434</v>
      </c>
      <c r="C190" t="s">
        <v>2434</v>
      </c>
      <c r="D190" t="s">
        <v>3434</v>
      </c>
      <c r="E190" t="s">
        <v>4434</v>
      </c>
      <c r="F190">
        <v>40</v>
      </c>
      <c r="G190" t="s">
        <v>5015</v>
      </c>
      <c r="H190" t="s">
        <v>5019</v>
      </c>
      <c r="I190" t="s">
        <v>5026</v>
      </c>
      <c r="J190">
        <v>46752</v>
      </c>
      <c r="K190">
        <v>64</v>
      </c>
      <c r="L190" s="7">
        <v>45202</v>
      </c>
      <c r="M190" t="s">
        <v>5029</v>
      </c>
      <c r="N190">
        <v>4</v>
      </c>
      <c r="O190">
        <v>9121</v>
      </c>
    </row>
    <row r="191" spans="1:15" x14ac:dyDescent="0.3">
      <c r="A191" t="s">
        <v>799</v>
      </c>
      <c r="B191" t="s">
        <v>1799</v>
      </c>
      <c r="C191" t="s">
        <v>2799</v>
      </c>
      <c r="D191" t="s">
        <v>3799</v>
      </c>
      <c r="E191" t="s">
        <v>4799</v>
      </c>
      <c r="F191">
        <v>70</v>
      </c>
      <c r="G191" t="s">
        <v>5016</v>
      </c>
      <c r="H191" t="s">
        <v>5021</v>
      </c>
      <c r="I191" t="s">
        <v>5025</v>
      </c>
      <c r="J191">
        <v>46886</v>
      </c>
      <c r="K191">
        <v>1</v>
      </c>
      <c r="L191" s="7">
        <v>45280</v>
      </c>
      <c r="M191" t="s">
        <v>5028</v>
      </c>
      <c r="N191">
        <v>4</v>
      </c>
      <c r="O191">
        <v>5138</v>
      </c>
    </row>
    <row r="192" spans="1:15" x14ac:dyDescent="0.3">
      <c r="A192" t="s">
        <v>367</v>
      </c>
      <c r="B192" t="s">
        <v>1367</v>
      </c>
      <c r="C192" t="s">
        <v>2367</v>
      </c>
      <c r="D192" t="s">
        <v>3367</v>
      </c>
      <c r="E192" t="s">
        <v>4367</v>
      </c>
      <c r="F192">
        <v>30</v>
      </c>
      <c r="G192" t="s">
        <v>5015</v>
      </c>
      <c r="H192" t="s">
        <v>5022</v>
      </c>
      <c r="I192" t="s">
        <v>5023</v>
      </c>
      <c r="J192">
        <v>47091</v>
      </c>
      <c r="K192">
        <v>23</v>
      </c>
      <c r="L192" s="7">
        <v>44990</v>
      </c>
      <c r="M192" t="s">
        <v>5029</v>
      </c>
      <c r="N192">
        <v>3</v>
      </c>
      <c r="O192">
        <v>926</v>
      </c>
    </row>
    <row r="193" spans="1:15" x14ac:dyDescent="0.3">
      <c r="A193" t="s">
        <v>1009</v>
      </c>
      <c r="B193" t="s">
        <v>2009</v>
      </c>
      <c r="C193" t="s">
        <v>3009</v>
      </c>
      <c r="D193" t="s">
        <v>4009</v>
      </c>
      <c r="E193" t="s">
        <v>5009</v>
      </c>
      <c r="F193">
        <v>34</v>
      </c>
      <c r="G193" t="s">
        <v>5016</v>
      </c>
      <c r="H193" t="s">
        <v>5018</v>
      </c>
      <c r="I193" t="s">
        <v>5023</v>
      </c>
      <c r="J193">
        <v>47150</v>
      </c>
      <c r="K193">
        <v>59</v>
      </c>
      <c r="L193" s="7">
        <v>44946</v>
      </c>
      <c r="M193" t="s">
        <v>5028</v>
      </c>
      <c r="N193">
        <v>8</v>
      </c>
      <c r="O193">
        <v>5136</v>
      </c>
    </row>
    <row r="194" spans="1:15" x14ac:dyDescent="0.3">
      <c r="A194" t="s">
        <v>270</v>
      </c>
      <c r="B194" t="s">
        <v>1270</v>
      </c>
      <c r="C194" t="s">
        <v>2270</v>
      </c>
      <c r="D194" t="s">
        <v>3270</v>
      </c>
      <c r="E194" t="s">
        <v>4270</v>
      </c>
      <c r="F194">
        <v>55</v>
      </c>
      <c r="G194" t="s">
        <v>5015</v>
      </c>
      <c r="H194" t="s">
        <v>5018</v>
      </c>
      <c r="I194" t="s">
        <v>5027</v>
      </c>
      <c r="J194">
        <v>47234</v>
      </c>
      <c r="K194">
        <v>55</v>
      </c>
      <c r="L194" s="7">
        <v>45016</v>
      </c>
      <c r="M194" t="s">
        <v>5029</v>
      </c>
      <c r="N194">
        <v>2</v>
      </c>
      <c r="O194">
        <v>2012</v>
      </c>
    </row>
    <row r="195" spans="1:15" x14ac:dyDescent="0.3">
      <c r="A195" t="s">
        <v>375</v>
      </c>
      <c r="B195" t="s">
        <v>1375</v>
      </c>
      <c r="C195" t="s">
        <v>2375</v>
      </c>
      <c r="D195" t="s">
        <v>3375</v>
      </c>
      <c r="E195" t="s">
        <v>4375</v>
      </c>
      <c r="F195">
        <v>50</v>
      </c>
      <c r="G195" t="s">
        <v>5015</v>
      </c>
      <c r="H195" t="s">
        <v>5020</v>
      </c>
      <c r="I195" t="s">
        <v>5027</v>
      </c>
      <c r="J195">
        <v>47300</v>
      </c>
      <c r="K195">
        <v>13</v>
      </c>
      <c r="L195" s="7">
        <v>45261</v>
      </c>
      <c r="M195" t="s">
        <v>5030</v>
      </c>
      <c r="N195">
        <v>8</v>
      </c>
      <c r="O195">
        <v>9937</v>
      </c>
    </row>
    <row r="196" spans="1:15" x14ac:dyDescent="0.3">
      <c r="A196" t="s">
        <v>771</v>
      </c>
      <c r="B196" t="s">
        <v>1771</v>
      </c>
      <c r="C196" t="s">
        <v>2771</v>
      </c>
      <c r="D196" t="s">
        <v>3771</v>
      </c>
      <c r="E196" t="s">
        <v>4771</v>
      </c>
      <c r="F196">
        <v>31</v>
      </c>
      <c r="G196" t="s">
        <v>5017</v>
      </c>
      <c r="H196" t="s">
        <v>5022</v>
      </c>
      <c r="I196" t="s">
        <v>5023</v>
      </c>
      <c r="J196">
        <v>47339</v>
      </c>
      <c r="K196">
        <v>78</v>
      </c>
      <c r="L196" s="7">
        <v>45032</v>
      </c>
      <c r="M196" t="s">
        <v>5028</v>
      </c>
      <c r="N196">
        <v>10</v>
      </c>
      <c r="O196">
        <v>4934</v>
      </c>
    </row>
    <row r="197" spans="1:15" x14ac:dyDescent="0.3">
      <c r="A197" t="s">
        <v>82</v>
      </c>
      <c r="B197" t="s">
        <v>1082</v>
      </c>
      <c r="C197" t="s">
        <v>2082</v>
      </c>
      <c r="D197" t="s">
        <v>3082</v>
      </c>
      <c r="E197" t="s">
        <v>4082</v>
      </c>
      <c r="F197">
        <v>19</v>
      </c>
      <c r="G197" t="s">
        <v>5017</v>
      </c>
      <c r="H197" t="s">
        <v>5018</v>
      </c>
      <c r="I197" t="s">
        <v>5023</v>
      </c>
      <c r="J197">
        <v>47353</v>
      </c>
      <c r="K197">
        <v>92</v>
      </c>
      <c r="L197" s="7">
        <v>44948</v>
      </c>
      <c r="M197" t="s">
        <v>5030</v>
      </c>
      <c r="N197">
        <v>1</v>
      </c>
      <c r="O197">
        <v>4577</v>
      </c>
    </row>
    <row r="198" spans="1:15" x14ac:dyDescent="0.3">
      <c r="A198" t="s">
        <v>128</v>
      </c>
      <c r="B198" t="s">
        <v>1128</v>
      </c>
      <c r="C198" t="s">
        <v>2128</v>
      </c>
      <c r="D198" t="s">
        <v>3128</v>
      </c>
      <c r="E198" t="s">
        <v>4128</v>
      </c>
      <c r="F198">
        <v>34</v>
      </c>
      <c r="G198" t="s">
        <v>5016</v>
      </c>
      <c r="H198" t="s">
        <v>5018</v>
      </c>
      <c r="I198" t="s">
        <v>5024</v>
      </c>
      <c r="J198">
        <v>47424</v>
      </c>
      <c r="K198">
        <v>47</v>
      </c>
      <c r="L198" s="7">
        <v>44947</v>
      </c>
      <c r="M198" t="s">
        <v>5028</v>
      </c>
      <c r="N198">
        <v>2</v>
      </c>
      <c r="O198">
        <v>3276</v>
      </c>
    </row>
    <row r="199" spans="1:15" x14ac:dyDescent="0.3">
      <c r="A199" t="s">
        <v>657</v>
      </c>
      <c r="B199" t="s">
        <v>1657</v>
      </c>
      <c r="C199" t="s">
        <v>2657</v>
      </c>
      <c r="D199" t="s">
        <v>3657</v>
      </c>
      <c r="E199" t="s">
        <v>4657</v>
      </c>
      <c r="F199">
        <v>51</v>
      </c>
      <c r="G199" t="s">
        <v>5016</v>
      </c>
      <c r="H199" t="s">
        <v>5019</v>
      </c>
      <c r="I199" t="s">
        <v>5023</v>
      </c>
      <c r="J199">
        <v>47516</v>
      </c>
      <c r="K199">
        <v>69</v>
      </c>
      <c r="L199" s="7">
        <v>45259</v>
      </c>
      <c r="M199" t="s">
        <v>5028</v>
      </c>
      <c r="N199">
        <v>5</v>
      </c>
      <c r="O199">
        <v>9634</v>
      </c>
    </row>
    <row r="200" spans="1:15" x14ac:dyDescent="0.3">
      <c r="A200" t="s">
        <v>43</v>
      </c>
      <c r="B200" t="s">
        <v>1043</v>
      </c>
      <c r="C200" t="s">
        <v>2043</v>
      </c>
      <c r="D200" t="s">
        <v>3043</v>
      </c>
      <c r="E200" t="s">
        <v>4043</v>
      </c>
      <c r="F200">
        <v>67</v>
      </c>
      <c r="G200" t="s">
        <v>5016</v>
      </c>
      <c r="H200" t="s">
        <v>5020</v>
      </c>
      <c r="I200" t="s">
        <v>5024</v>
      </c>
      <c r="J200">
        <v>47590</v>
      </c>
      <c r="K200">
        <v>60</v>
      </c>
      <c r="L200" s="7">
        <v>45003</v>
      </c>
      <c r="M200" t="s">
        <v>5030</v>
      </c>
      <c r="N200">
        <v>8</v>
      </c>
      <c r="O200">
        <v>8326</v>
      </c>
    </row>
    <row r="201" spans="1:15" x14ac:dyDescent="0.3">
      <c r="A201" t="s">
        <v>421</v>
      </c>
      <c r="B201" t="s">
        <v>1421</v>
      </c>
      <c r="C201" t="s">
        <v>2421</v>
      </c>
      <c r="D201" t="s">
        <v>3421</v>
      </c>
      <c r="E201" t="s">
        <v>4421</v>
      </c>
      <c r="F201">
        <v>30</v>
      </c>
      <c r="G201" t="s">
        <v>5017</v>
      </c>
      <c r="H201" t="s">
        <v>5021</v>
      </c>
      <c r="I201" t="s">
        <v>5023</v>
      </c>
      <c r="J201">
        <v>47635</v>
      </c>
      <c r="K201">
        <v>40</v>
      </c>
      <c r="L201" s="7">
        <v>45080</v>
      </c>
      <c r="M201" t="s">
        <v>5028</v>
      </c>
      <c r="N201">
        <v>8</v>
      </c>
      <c r="O201">
        <v>4868</v>
      </c>
    </row>
    <row r="202" spans="1:15" x14ac:dyDescent="0.3">
      <c r="A202" t="s">
        <v>392</v>
      </c>
      <c r="B202" t="s">
        <v>1392</v>
      </c>
      <c r="C202" t="s">
        <v>2392</v>
      </c>
      <c r="D202" t="s">
        <v>3392</v>
      </c>
      <c r="E202" t="s">
        <v>4392</v>
      </c>
      <c r="F202">
        <v>59</v>
      </c>
      <c r="G202" t="s">
        <v>5016</v>
      </c>
      <c r="H202" t="s">
        <v>5019</v>
      </c>
      <c r="I202" t="s">
        <v>5027</v>
      </c>
      <c r="J202">
        <v>47659</v>
      </c>
      <c r="K202">
        <v>47</v>
      </c>
      <c r="L202" s="7">
        <v>45219</v>
      </c>
      <c r="M202" t="s">
        <v>5029</v>
      </c>
      <c r="N202">
        <v>8</v>
      </c>
      <c r="O202">
        <v>8017</v>
      </c>
    </row>
    <row r="203" spans="1:15" x14ac:dyDescent="0.3">
      <c r="A203" t="s">
        <v>246</v>
      </c>
      <c r="B203" t="s">
        <v>1246</v>
      </c>
      <c r="C203" t="s">
        <v>2246</v>
      </c>
      <c r="D203" t="s">
        <v>3246</v>
      </c>
      <c r="E203" t="s">
        <v>4246</v>
      </c>
      <c r="F203">
        <v>70</v>
      </c>
      <c r="G203" t="s">
        <v>5016</v>
      </c>
      <c r="H203" t="s">
        <v>5022</v>
      </c>
      <c r="I203" t="s">
        <v>5027</v>
      </c>
      <c r="J203">
        <v>47682</v>
      </c>
      <c r="K203">
        <v>98</v>
      </c>
      <c r="L203" s="7">
        <v>45282</v>
      </c>
      <c r="M203" t="s">
        <v>5028</v>
      </c>
      <c r="N203">
        <v>8</v>
      </c>
      <c r="O203">
        <v>6047</v>
      </c>
    </row>
    <row r="204" spans="1:15" x14ac:dyDescent="0.3">
      <c r="A204" t="s">
        <v>992</v>
      </c>
      <c r="B204" t="s">
        <v>1992</v>
      </c>
      <c r="C204" t="s">
        <v>2992</v>
      </c>
      <c r="D204" t="s">
        <v>3992</v>
      </c>
      <c r="E204" t="s">
        <v>4992</v>
      </c>
      <c r="F204">
        <v>45</v>
      </c>
      <c r="G204" t="s">
        <v>5015</v>
      </c>
      <c r="H204" t="s">
        <v>5018</v>
      </c>
      <c r="I204" t="s">
        <v>5024</v>
      </c>
      <c r="J204">
        <v>47807</v>
      </c>
      <c r="K204">
        <v>35</v>
      </c>
      <c r="L204" s="7">
        <v>44955</v>
      </c>
      <c r="M204" t="s">
        <v>5030</v>
      </c>
      <c r="N204">
        <v>4</v>
      </c>
      <c r="O204">
        <v>4881</v>
      </c>
    </row>
    <row r="205" spans="1:15" x14ac:dyDescent="0.3">
      <c r="A205" t="s">
        <v>871</v>
      </c>
      <c r="B205" t="s">
        <v>1871</v>
      </c>
      <c r="C205" t="s">
        <v>2871</v>
      </c>
      <c r="D205" t="s">
        <v>3871</v>
      </c>
      <c r="E205" t="s">
        <v>4871</v>
      </c>
      <c r="F205">
        <v>18</v>
      </c>
      <c r="G205" t="s">
        <v>5015</v>
      </c>
      <c r="H205" t="s">
        <v>5018</v>
      </c>
      <c r="I205" t="s">
        <v>5024</v>
      </c>
      <c r="J205">
        <v>47936</v>
      </c>
      <c r="K205">
        <v>0</v>
      </c>
      <c r="L205" s="7">
        <v>45022</v>
      </c>
      <c r="M205" t="s">
        <v>5029</v>
      </c>
      <c r="N205">
        <v>7</v>
      </c>
      <c r="O205">
        <v>5774</v>
      </c>
    </row>
    <row r="206" spans="1:15" x14ac:dyDescent="0.3">
      <c r="A206" t="s">
        <v>830</v>
      </c>
      <c r="B206" t="s">
        <v>1830</v>
      </c>
      <c r="C206" t="s">
        <v>2830</v>
      </c>
      <c r="D206" t="s">
        <v>3830</v>
      </c>
      <c r="E206" t="s">
        <v>4830</v>
      </c>
      <c r="F206">
        <v>39</v>
      </c>
      <c r="G206" t="s">
        <v>5016</v>
      </c>
      <c r="H206" t="s">
        <v>5021</v>
      </c>
      <c r="I206" t="s">
        <v>5023</v>
      </c>
      <c r="J206">
        <v>47976</v>
      </c>
      <c r="K206">
        <v>75</v>
      </c>
      <c r="L206" s="7">
        <v>45257</v>
      </c>
      <c r="M206" t="s">
        <v>5029</v>
      </c>
      <c r="N206">
        <v>7</v>
      </c>
      <c r="O206">
        <v>8981</v>
      </c>
    </row>
    <row r="207" spans="1:15" x14ac:dyDescent="0.3">
      <c r="A207" t="s">
        <v>672</v>
      </c>
      <c r="B207" t="s">
        <v>1672</v>
      </c>
      <c r="C207" t="s">
        <v>2672</v>
      </c>
      <c r="D207" t="s">
        <v>3672</v>
      </c>
      <c r="E207" t="s">
        <v>4672</v>
      </c>
      <c r="F207">
        <v>27</v>
      </c>
      <c r="G207" t="s">
        <v>5015</v>
      </c>
      <c r="H207" t="s">
        <v>5018</v>
      </c>
      <c r="I207" t="s">
        <v>5024</v>
      </c>
      <c r="J207">
        <v>48224</v>
      </c>
      <c r="K207">
        <v>78</v>
      </c>
      <c r="L207" s="7">
        <v>45032</v>
      </c>
      <c r="M207" t="s">
        <v>5028</v>
      </c>
      <c r="N207">
        <v>3</v>
      </c>
      <c r="O207">
        <v>431</v>
      </c>
    </row>
    <row r="208" spans="1:15" x14ac:dyDescent="0.3">
      <c r="A208" t="s">
        <v>663</v>
      </c>
      <c r="B208" t="s">
        <v>1663</v>
      </c>
      <c r="C208" t="s">
        <v>2663</v>
      </c>
      <c r="D208" t="s">
        <v>3663</v>
      </c>
      <c r="E208" t="s">
        <v>4663</v>
      </c>
      <c r="F208">
        <v>32</v>
      </c>
      <c r="G208" t="s">
        <v>5016</v>
      </c>
      <c r="H208" t="s">
        <v>5018</v>
      </c>
      <c r="I208" t="s">
        <v>5024</v>
      </c>
      <c r="J208">
        <v>48257</v>
      </c>
      <c r="K208">
        <v>85</v>
      </c>
      <c r="L208" s="7">
        <v>45074</v>
      </c>
      <c r="M208" t="s">
        <v>5029</v>
      </c>
      <c r="N208">
        <v>6</v>
      </c>
      <c r="O208">
        <v>9089</v>
      </c>
    </row>
    <row r="209" spans="1:15" x14ac:dyDescent="0.3">
      <c r="A209" t="s">
        <v>413</v>
      </c>
      <c r="B209" t="s">
        <v>1413</v>
      </c>
      <c r="C209" t="s">
        <v>2413</v>
      </c>
      <c r="D209" t="s">
        <v>3413</v>
      </c>
      <c r="E209" t="s">
        <v>4413</v>
      </c>
      <c r="F209">
        <v>44</v>
      </c>
      <c r="G209" t="s">
        <v>5015</v>
      </c>
      <c r="H209" t="s">
        <v>5020</v>
      </c>
      <c r="I209" t="s">
        <v>5023</v>
      </c>
      <c r="J209">
        <v>48266</v>
      </c>
      <c r="K209">
        <v>9</v>
      </c>
      <c r="L209" s="7">
        <v>45068</v>
      </c>
      <c r="M209" t="s">
        <v>5028</v>
      </c>
      <c r="N209">
        <v>8</v>
      </c>
      <c r="O209">
        <v>4246</v>
      </c>
    </row>
    <row r="210" spans="1:15" x14ac:dyDescent="0.3">
      <c r="A210" t="s">
        <v>1002</v>
      </c>
      <c r="B210" t="s">
        <v>2002</v>
      </c>
      <c r="C210" t="s">
        <v>3002</v>
      </c>
      <c r="D210" t="s">
        <v>4002</v>
      </c>
      <c r="E210" t="s">
        <v>5002</v>
      </c>
      <c r="F210">
        <v>37</v>
      </c>
      <c r="G210" t="s">
        <v>5016</v>
      </c>
      <c r="H210" t="s">
        <v>5020</v>
      </c>
      <c r="I210" t="s">
        <v>5026</v>
      </c>
      <c r="J210">
        <v>48318</v>
      </c>
      <c r="K210">
        <v>0</v>
      </c>
      <c r="L210" s="7">
        <v>45138</v>
      </c>
      <c r="M210" t="s">
        <v>5029</v>
      </c>
      <c r="N210">
        <v>8</v>
      </c>
      <c r="O210">
        <v>9877</v>
      </c>
    </row>
    <row r="211" spans="1:15" x14ac:dyDescent="0.3">
      <c r="A211" t="s">
        <v>824</v>
      </c>
      <c r="B211" t="s">
        <v>1824</v>
      </c>
      <c r="C211" t="s">
        <v>2824</v>
      </c>
      <c r="D211" t="s">
        <v>3824</v>
      </c>
      <c r="E211" t="s">
        <v>4824</v>
      </c>
      <c r="F211">
        <v>61</v>
      </c>
      <c r="G211" t="s">
        <v>5017</v>
      </c>
      <c r="H211" t="s">
        <v>5018</v>
      </c>
      <c r="I211" t="s">
        <v>5023</v>
      </c>
      <c r="J211">
        <v>48468</v>
      </c>
      <c r="K211">
        <v>47</v>
      </c>
      <c r="L211" s="7">
        <v>44976</v>
      </c>
      <c r="M211" t="s">
        <v>5030</v>
      </c>
      <c r="N211">
        <v>1</v>
      </c>
      <c r="O211">
        <v>1906</v>
      </c>
    </row>
    <row r="212" spans="1:15" x14ac:dyDescent="0.3">
      <c r="A212" t="s">
        <v>741</v>
      </c>
      <c r="B212" t="s">
        <v>1741</v>
      </c>
      <c r="C212" t="s">
        <v>2741</v>
      </c>
      <c r="D212" t="s">
        <v>3741</v>
      </c>
      <c r="E212" t="s">
        <v>4741</v>
      </c>
      <c r="F212">
        <v>45</v>
      </c>
      <c r="G212" t="s">
        <v>5017</v>
      </c>
      <c r="H212" t="s">
        <v>5019</v>
      </c>
      <c r="I212" t="s">
        <v>5027</v>
      </c>
      <c r="J212">
        <v>48685</v>
      </c>
      <c r="K212">
        <v>81</v>
      </c>
      <c r="L212" s="7">
        <v>45119</v>
      </c>
      <c r="M212" t="s">
        <v>5030</v>
      </c>
      <c r="N212">
        <v>9</v>
      </c>
      <c r="O212">
        <v>8372</v>
      </c>
    </row>
    <row r="213" spans="1:15" x14ac:dyDescent="0.3">
      <c r="A213" t="s">
        <v>889</v>
      </c>
      <c r="B213" t="s">
        <v>1889</v>
      </c>
      <c r="C213" t="s">
        <v>2889</v>
      </c>
      <c r="D213" t="s">
        <v>3889</v>
      </c>
      <c r="E213" t="s">
        <v>4889</v>
      </c>
      <c r="F213">
        <v>47</v>
      </c>
      <c r="G213" t="s">
        <v>5016</v>
      </c>
      <c r="H213" t="s">
        <v>5019</v>
      </c>
      <c r="I213" t="s">
        <v>5026</v>
      </c>
      <c r="J213">
        <v>48743</v>
      </c>
      <c r="K213">
        <v>9</v>
      </c>
      <c r="L213" s="7">
        <v>45000</v>
      </c>
      <c r="M213" t="s">
        <v>5030</v>
      </c>
      <c r="N213">
        <v>4</v>
      </c>
      <c r="O213">
        <v>8505</v>
      </c>
    </row>
    <row r="214" spans="1:15" x14ac:dyDescent="0.3">
      <c r="A214" t="s">
        <v>93</v>
      </c>
      <c r="B214" t="s">
        <v>1093</v>
      </c>
      <c r="C214" t="s">
        <v>2093</v>
      </c>
      <c r="D214" t="s">
        <v>3093</v>
      </c>
      <c r="E214" t="s">
        <v>4093</v>
      </c>
      <c r="F214">
        <v>32</v>
      </c>
      <c r="G214" t="s">
        <v>5017</v>
      </c>
      <c r="H214" t="s">
        <v>5022</v>
      </c>
      <c r="I214" t="s">
        <v>5025</v>
      </c>
      <c r="J214">
        <v>49059</v>
      </c>
      <c r="K214">
        <v>31</v>
      </c>
      <c r="L214" s="7">
        <v>44967</v>
      </c>
      <c r="M214" t="s">
        <v>5029</v>
      </c>
      <c r="N214">
        <v>4</v>
      </c>
      <c r="O214">
        <v>2274</v>
      </c>
    </row>
    <row r="215" spans="1:15" x14ac:dyDescent="0.3">
      <c r="A215" t="s">
        <v>926</v>
      </c>
      <c r="B215" t="s">
        <v>1926</v>
      </c>
      <c r="C215" t="s">
        <v>2926</v>
      </c>
      <c r="D215" t="s">
        <v>3926</v>
      </c>
      <c r="E215" t="s">
        <v>4926</v>
      </c>
      <c r="F215">
        <v>42</v>
      </c>
      <c r="G215" t="s">
        <v>5015</v>
      </c>
      <c r="H215" t="s">
        <v>5020</v>
      </c>
      <c r="I215" t="s">
        <v>5025</v>
      </c>
      <c r="J215">
        <v>49188</v>
      </c>
      <c r="K215">
        <v>72</v>
      </c>
      <c r="L215" s="7">
        <v>45107</v>
      </c>
      <c r="M215" t="s">
        <v>5028</v>
      </c>
      <c r="N215">
        <v>4</v>
      </c>
      <c r="O215">
        <v>2815</v>
      </c>
    </row>
    <row r="216" spans="1:15" x14ac:dyDescent="0.3">
      <c r="A216" t="s">
        <v>749</v>
      </c>
      <c r="B216" t="s">
        <v>1749</v>
      </c>
      <c r="C216" t="s">
        <v>2749</v>
      </c>
      <c r="D216" t="s">
        <v>3749</v>
      </c>
      <c r="E216" t="s">
        <v>4749</v>
      </c>
      <c r="F216">
        <v>27</v>
      </c>
      <c r="G216" t="s">
        <v>5016</v>
      </c>
      <c r="H216" t="s">
        <v>5020</v>
      </c>
      <c r="I216" t="s">
        <v>5024</v>
      </c>
      <c r="J216">
        <v>49264</v>
      </c>
      <c r="K216">
        <v>9</v>
      </c>
      <c r="L216" s="7">
        <v>44996</v>
      </c>
      <c r="M216" t="s">
        <v>5028</v>
      </c>
      <c r="N216">
        <v>5</v>
      </c>
      <c r="O216">
        <v>1029</v>
      </c>
    </row>
    <row r="217" spans="1:15" x14ac:dyDescent="0.3">
      <c r="A217" t="s">
        <v>382</v>
      </c>
      <c r="B217" t="s">
        <v>1382</v>
      </c>
      <c r="C217" t="s">
        <v>2382</v>
      </c>
      <c r="D217" t="s">
        <v>3382</v>
      </c>
      <c r="E217" t="s">
        <v>4382</v>
      </c>
      <c r="F217">
        <v>40</v>
      </c>
      <c r="G217" t="s">
        <v>5015</v>
      </c>
      <c r="H217" t="s">
        <v>5018</v>
      </c>
      <c r="I217" t="s">
        <v>5023</v>
      </c>
      <c r="J217">
        <v>49324</v>
      </c>
      <c r="K217">
        <v>32</v>
      </c>
      <c r="L217" s="7">
        <v>45004</v>
      </c>
      <c r="M217" t="s">
        <v>5028</v>
      </c>
      <c r="N217">
        <v>4</v>
      </c>
      <c r="O217">
        <v>6685</v>
      </c>
    </row>
    <row r="218" spans="1:15" x14ac:dyDescent="0.3">
      <c r="A218" t="s">
        <v>457</v>
      </c>
      <c r="B218" t="s">
        <v>1457</v>
      </c>
      <c r="C218" t="s">
        <v>2457</v>
      </c>
      <c r="D218" t="s">
        <v>3457</v>
      </c>
      <c r="E218" t="s">
        <v>4457</v>
      </c>
      <c r="F218">
        <v>42</v>
      </c>
      <c r="G218" t="s">
        <v>5017</v>
      </c>
      <c r="H218" t="s">
        <v>5021</v>
      </c>
      <c r="I218" t="s">
        <v>5024</v>
      </c>
      <c r="J218">
        <v>49510</v>
      </c>
      <c r="K218">
        <v>73</v>
      </c>
      <c r="L218" s="7">
        <v>44995</v>
      </c>
      <c r="M218" t="s">
        <v>5028</v>
      </c>
      <c r="N218">
        <v>10</v>
      </c>
      <c r="O218">
        <v>6157</v>
      </c>
    </row>
    <row r="219" spans="1:15" x14ac:dyDescent="0.3">
      <c r="A219" t="s">
        <v>390</v>
      </c>
      <c r="B219" t="s">
        <v>1390</v>
      </c>
      <c r="C219" t="s">
        <v>2390</v>
      </c>
      <c r="D219" t="s">
        <v>3390</v>
      </c>
      <c r="E219" t="s">
        <v>4390</v>
      </c>
      <c r="F219">
        <v>70</v>
      </c>
      <c r="G219" t="s">
        <v>5017</v>
      </c>
      <c r="H219" t="s">
        <v>5019</v>
      </c>
      <c r="I219" t="s">
        <v>5023</v>
      </c>
      <c r="J219">
        <v>49518</v>
      </c>
      <c r="K219">
        <v>78</v>
      </c>
      <c r="L219" s="7">
        <v>45134</v>
      </c>
      <c r="M219" t="s">
        <v>5030</v>
      </c>
      <c r="N219">
        <v>3</v>
      </c>
      <c r="O219">
        <v>9551</v>
      </c>
    </row>
    <row r="220" spans="1:15" x14ac:dyDescent="0.3">
      <c r="A220" t="s">
        <v>320</v>
      </c>
      <c r="B220" t="s">
        <v>1320</v>
      </c>
      <c r="C220" t="s">
        <v>2320</v>
      </c>
      <c r="D220" t="s">
        <v>3320</v>
      </c>
      <c r="E220" t="s">
        <v>4320</v>
      </c>
      <c r="F220">
        <v>34</v>
      </c>
      <c r="G220" t="s">
        <v>5017</v>
      </c>
      <c r="H220" t="s">
        <v>5021</v>
      </c>
      <c r="I220" t="s">
        <v>5023</v>
      </c>
      <c r="J220">
        <v>49535</v>
      </c>
      <c r="K220">
        <v>21</v>
      </c>
      <c r="L220" s="7">
        <v>45093</v>
      </c>
      <c r="M220" t="s">
        <v>5029</v>
      </c>
      <c r="N220">
        <v>1</v>
      </c>
      <c r="O220">
        <v>8221</v>
      </c>
    </row>
    <row r="221" spans="1:15" x14ac:dyDescent="0.3">
      <c r="A221" t="s">
        <v>890</v>
      </c>
      <c r="B221" t="s">
        <v>1890</v>
      </c>
      <c r="C221" t="s">
        <v>2890</v>
      </c>
      <c r="D221" t="s">
        <v>3890</v>
      </c>
      <c r="E221" t="s">
        <v>4890</v>
      </c>
      <c r="F221">
        <v>60</v>
      </c>
      <c r="G221" t="s">
        <v>5015</v>
      </c>
      <c r="H221" t="s">
        <v>5018</v>
      </c>
      <c r="I221" t="s">
        <v>5023</v>
      </c>
      <c r="J221">
        <v>49609</v>
      </c>
      <c r="K221">
        <v>48</v>
      </c>
      <c r="L221" s="7">
        <v>45028</v>
      </c>
      <c r="M221" t="s">
        <v>5028</v>
      </c>
      <c r="N221">
        <v>4</v>
      </c>
      <c r="O221">
        <v>6617</v>
      </c>
    </row>
    <row r="222" spans="1:15" x14ac:dyDescent="0.3">
      <c r="A222" t="s">
        <v>120</v>
      </c>
      <c r="B222" t="s">
        <v>1120</v>
      </c>
      <c r="C222" t="s">
        <v>2120</v>
      </c>
      <c r="D222" t="s">
        <v>3120</v>
      </c>
      <c r="E222" t="s">
        <v>4120</v>
      </c>
      <c r="F222">
        <v>44</v>
      </c>
      <c r="G222" t="s">
        <v>5017</v>
      </c>
      <c r="H222" t="s">
        <v>5021</v>
      </c>
      <c r="I222" t="s">
        <v>5026</v>
      </c>
      <c r="J222">
        <v>50055</v>
      </c>
      <c r="K222">
        <v>5</v>
      </c>
      <c r="L222" s="7">
        <v>45182</v>
      </c>
      <c r="M222" t="s">
        <v>5030</v>
      </c>
      <c r="N222">
        <v>7</v>
      </c>
      <c r="O222">
        <v>5420</v>
      </c>
    </row>
    <row r="223" spans="1:15" x14ac:dyDescent="0.3">
      <c r="A223" t="s">
        <v>966</v>
      </c>
      <c r="B223" t="s">
        <v>1966</v>
      </c>
      <c r="C223" t="s">
        <v>2966</v>
      </c>
      <c r="D223" t="s">
        <v>3966</v>
      </c>
      <c r="E223" t="s">
        <v>4966</v>
      </c>
      <c r="F223">
        <v>20</v>
      </c>
      <c r="G223" t="s">
        <v>5016</v>
      </c>
      <c r="H223" t="s">
        <v>5022</v>
      </c>
      <c r="I223" t="s">
        <v>5024</v>
      </c>
      <c r="J223">
        <v>50227</v>
      </c>
      <c r="K223">
        <v>45</v>
      </c>
      <c r="L223" s="7">
        <v>45018</v>
      </c>
      <c r="M223" t="s">
        <v>5029</v>
      </c>
      <c r="N223">
        <v>9</v>
      </c>
      <c r="O223">
        <v>2225</v>
      </c>
    </row>
    <row r="224" spans="1:15" x14ac:dyDescent="0.3">
      <c r="A224" t="s">
        <v>1005</v>
      </c>
      <c r="B224" t="s">
        <v>2005</v>
      </c>
      <c r="C224" t="s">
        <v>3005</v>
      </c>
      <c r="D224" t="s">
        <v>4005</v>
      </c>
      <c r="E224" t="s">
        <v>5005</v>
      </c>
      <c r="F224">
        <v>55</v>
      </c>
      <c r="G224" t="s">
        <v>5017</v>
      </c>
      <c r="H224" t="s">
        <v>5020</v>
      </c>
      <c r="I224" t="s">
        <v>5025</v>
      </c>
      <c r="J224">
        <v>50263</v>
      </c>
      <c r="K224">
        <v>41</v>
      </c>
      <c r="L224" s="7">
        <v>45012</v>
      </c>
      <c r="M224" t="s">
        <v>5030</v>
      </c>
      <c r="N224">
        <v>7</v>
      </c>
      <c r="O224">
        <v>9290</v>
      </c>
    </row>
    <row r="225" spans="1:15" x14ac:dyDescent="0.3">
      <c r="A225" t="s">
        <v>968</v>
      </c>
      <c r="B225" t="s">
        <v>1968</v>
      </c>
      <c r="C225" t="s">
        <v>2968</v>
      </c>
      <c r="D225" t="s">
        <v>3968</v>
      </c>
      <c r="E225" t="s">
        <v>4968</v>
      </c>
      <c r="F225">
        <v>25</v>
      </c>
      <c r="G225" t="s">
        <v>5015</v>
      </c>
      <c r="H225" t="s">
        <v>5018</v>
      </c>
      <c r="I225" t="s">
        <v>5025</v>
      </c>
      <c r="J225">
        <v>50507</v>
      </c>
      <c r="K225">
        <v>53</v>
      </c>
      <c r="L225" s="7">
        <v>45008</v>
      </c>
      <c r="M225" t="s">
        <v>5028</v>
      </c>
      <c r="N225">
        <v>5</v>
      </c>
      <c r="O225">
        <v>6289</v>
      </c>
    </row>
    <row r="226" spans="1:15" x14ac:dyDescent="0.3">
      <c r="A226" t="s">
        <v>105</v>
      </c>
      <c r="B226" t="s">
        <v>1105</v>
      </c>
      <c r="C226" t="s">
        <v>2105</v>
      </c>
      <c r="D226" t="s">
        <v>3105</v>
      </c>
      <c r="E226" t="s">
        <v>4105</v>
      </c>
      <c r="F226">
        <v>57</v>
      </c>
      <c r="G226" t="s">
        <v>5015</v>
      </c>
      <c r="H226" t="s">
        <v>5018</v>
      </c>
      <c r="I226" t="s">
        <v>5023</v>
      </c>
      <c r="J226">
        <v>50806</v>
      </c>
      <c r="K226">
        <v>43</v>
      </c>
      <c r="L226" s="7">
        <v>45211</v>
      </c>
      <c r="M226" t="s">
        <v>5028</v>
      </c>
      <c r="N226">
        <v>8</v>
      </c>
      <c r="O226">
        <v>2893</v>
      </c>
    </row>
    <row r="227" spans="1:15" x14ac:dyDescent="0.3">
      <c r="A227" t="s">
        <v>26</v>
      </c>
      <c r="B227" t="s">
        <v>1026</v>
      </c>
      <c r="C227" t="s">
        <v>2026</v>
      </c>
      <c r="D227" t="s">
        <v>3026</v>
      </c>
      <c r="E227" t="s">
        <v>4026</v>
      </c>
      <c r="F227">
        <v>49</v>
      </c>
      <c r="G227" t="s">
        <v>5017</v>
      </c>
      <c r="H227" t="s">
        <v>5022</v>
      </c>
      <c r="I227" t="s">
        <v>5023</v>
      </c>
      <c r="J227">
        <v>51008</v>
      </c>
      <c r="K227">
        <v>83</v>
      </c>
      <c r="L227" s="7">
        <v>45285</v>
      </c>
      <c r="M227" t="s">
        <v>5029</v>
      </c>
      <c r="N227">
        <v>1</v>
      </c>
      <c r="O227">
        <v>3174</v>
      </c>
    </row>
    <row r="228" spans="1:15" x14ac:dyDescent="0.3">
      <c r="A228" t="s">
        <v>363</v>
      </c>
      <c r="B228" t="s">
        <v>1363</v>
      </c>
      <c r="C228" t="s">
        <v>2363</v>
      </c>
      <c r="D228" t="s">
        <v>3363</v>
      </c>
      <c r="E228" t="s">
        <v>4363</v>
      </c>
      <c r="F228">
        <v>28</v>
      </c>
      <c r="G228" t="s">
        <v>5015</v>
      </c>
      <c r="H228" t="s">
        <v>5018</v>
      </c>
      <c r="I228" t="s">
        <v>5026</v>
      </c>
      <c r="J228">
        <v>51215</v>
      </c>
      <c r="K228">
        <v>60</v>
      </c>
      <c r="L228" s="7">
        <v>45260</v>
      </c>
      <c r="M228" t="s">
        <v>5030</v>
      </c>
      <c r="N228">
        <v>2</v>
      </c>
      <c r="O228">
        <v>434</v>
      </c>
    </row>
    <row r="229" spans="1:15" x14ac:dyDescent="0.3">
      <c r="A229" t="s">
        <v>178</v>
      </c>
      <c r="B229" t="s">
        <v>1178</v>
      </c>
      <c r="C229" t="s">
        <v>2178</v>
      </c>
      <c r="D229" t="s">
        <v>3178</v>
      </c>
      <c r="E229" t="s">
        <v>4178</v>
      </c>
      <c r="F229">
        <v>34</v>
      </c>
      <c r="G229" t="s">
        <v>5015</v>
      </c>
      <c r="H229" t="s">
        <v>5021</v>
      </c>
      <c r="I229" t="s">
        <v>5024</v>
      </c>
      <c r="J229">
        <v>51560</v>
      </c>
      <c r="K229">
        <v>25</v>
      </c>
      <c r="L229" s="7">
        <v>45051</v>
      </c>
      <c r="M229" t="s">
        <v>5028</v>
      </c>
      <c r="N229">
        <v>4</v>
      </c>
      <c r="O229">
        <v>4355</v>
      </c>
    </row>
    <row r="230" spans="1:15" x14ac:dyDescent="0.3">
      <c r="A230" t="s">
        <v>895</v>
      </c>
      <c r="B230" t="s">
        <v>1895</v>
      </c>
      <c r="C230" t="s">
        <v>2895</v>
      </c>
      <c r="D230" t="s">
        <v>3895</v>
      </c>
      <c r="E230" t="s">
        <v>4895</v>
      </c>
      <c r="F230">
        <v>56</v>
      </c>
      <c r="G230" t="s">
        <v>5016</v>
      </c>
      <c r="H230" t="s">
        <v>5019</v>
      </c>
      <c r="I230" t="s">
        <v>5023</v>
      </c>
      <c r="J230">
        <v>51763</v>
      </c>
      <c r="K230">
        <v>2</v>
      </c>
      <c r="L230" s="7">
        <v>45133</v>
      </c>
      <c r="M230" t="s">
        <v>5029</v>
      </c>
      <c r="N230">
        <v>6</v>
      </c>
      <c r="O230">
        <v>2068</v>
      </c>
    </row>
    <row r="231" spans="1:15" x14ac:dyDescent="0.3">
      <c r="A231" t="s">
        <v>442</v>
      </c>
      <c r="B231" t="s">
        <v>1442</v>
      </c>
      <c r="C231" t="s">
        <v>2442</v>
      </c>
      <c r="D231" t="s">
        <v>3442</v>
      </c>
      <c r="E231" t="s">
        <v>4442</v>
      </c>
      <c r="F231">
        <v>47</v>
      </c>
      <c r="G231" t="s">
        <v>5015</v>
      </c>
      <c r="H231" t="s">
        <v>5020</v>
      </c>
      <c r="I231" t="s">
        <v>5024</v>
      </c>
      <c r="J231">
        <v>51805</v>
      </c>
      <c r="K231">
        <v>3</v>
      </c>
      <c r="L231" s="7">
        <v>44957</v>
      </c>
      <c r="M231" t="s">
        <v>5028</v>
      </c>
      <c r="N231">
        <v>10</v>
      </c>
      <c r="O231">
        <v>6738</v>
      </c>
    </row>
    <row r="232" spans="1:15" x14ac:dyDescent="0.3">
      <c r="A232" t="s">
        <v>823</v>
      </c>
      <c r="B232" t="s">
        <v>1823</v>
      </c>
      <c r="C232" t="s">
        <v>2823</v>
      </c>
      <c r="D232" t="s">
        <v>3823</v>
      </c>
      <c r="E232" t="s">
        <v>4823</v>
      </c>
      <c r="F232">
        <v>56</v>
      </c>
      <c r="G232" t="s">
        <v>5016</v>
      </c>
      <c r="H232" t="s">
        <v>5022</v>
      </c>
      <c r="I232" t="s">
        <v>5027</v>
      </c>
      <c r="J232">
        <v>51983</v>
      </c>
      <c r="K232">
        <v>35</v>
      </c>
      <c r="L232" s="7">
        <v>45083</v>
      </c>
      <c r="M232" t="s">
        <v>5028</v>
      </c>
      <c r="N232">
        <v>5</v>
      </c>
      <c r="O232">
        <v>9577</v>
      </c>
    </row>
    <row r="233" spans="1:15" x14ac:dyDescent="0.3">
      <c r="A233" t="s">
        <v>819</v>
      </c>
      <c r="B233" t="s">
        <v>1819</v>
      </c>
      <c r="C233" t="s">
        <v>2819</v>
      </c>
      <c r="D233" t="s">
        <v>3819</v>
      </c>
      <c r="E233" t="s">
        <v>4819</v>
      </c>
      <c r="F233">
        <v>61</v>
      </c>
      <c r="G233" t="s">
        <v>5015</v>
      </c>
      <c r="H233" t="s">
        <v>5022</v>
      </c>
      <c r="I233" t="s">
        <v>5025</v>
      </c>
      <c r="J233">
        <v>52070</v>
      </c>
      <c r="K233">
        <v>71</v>
      </c>
      <c r="L233" s="7">
        <v>45008</v>
      </c>
      <c r="M233" t="s">
        <v>5029</v>
      </c>
      <c r="N233">
        <v>2</v>
      </c>
      <c r="O233">
        <v>1127</v>
      </c>
    </row>
    <row r="234" spans="1:15" x14ac:dyDescent="0.3">
      <c r="A234" t="s">
        <v>668</v>
      </c>
      <c r="B234" t="s">
        <v>1668</v>
      </c>
      <c r="C234" t="s">
        <v>2668</v>
      </c>
      <c r="D234" t="s">
        <v>3668</v>
      </c>
      <c r="E234" t="s">
        <v>4668</v>
      </c>
      <c r="F234">
        <v>30</v>
      </c>
      <c r="G234" t="s">
        <v>5017</v>
      </c>
      <c r="H234" t="s">
        <v>5020</v>
      </c>
      <c r="I234" t="s">
        <v>5025</v>
      </c>
      <c r="J234">
        <v>52089</v>
      </c>
      <c r="K234">
        <v>65</v>
      </c>
      <c r="L234" s="7">
        <v>45077</v>
      </c>
      <c r="M234" t="s">
        <v>5029</v>
      </c>
      <c r="N234">
        <v>1</v>
      </c>
      <c r="O234">
        <v>3573</v>
      </c>
    </row>
    <row r="235" spans="1:15" x14ac:dyDescent="0.3">
      <c r="A235" t="s">
        <v>90</v>
      </c>
      <c r="B235" t="s">
        <v>1090</v>
      </c>
      <c r="C235" t="s">
        <v>2090</v>
      </c>
      <c r="D235" t="s">
        <v>3090</v>
      </c>
      <c r="E235" t="s">
        <v>4090</v>
      </c>
      <c r="F235">
        <v>24</v>
      </c>
      <c r="G235" t="s">
        <v>5017</v>
      </c>
      <c r="H235" t="s">
        <v>5018</v>
      </c>
      <c r="I235" t="s">
        <v>5024</v>
      </c>
      <c r="J235">
        <v>52235</v>
      </c>
      <c r="K235">
        <v>89</v>
      </c>
      <c r="L235" s="7">
        <v>45092</v>
      </c>
      <c r="M235" t="s">
        <v>5028</v>
      </c>
      <c r="N235">
        <v>4</v>
      </c>
      <c r="O235">
        <v>9416</v>
      </c>
    </row>
    <row r="236" spans="1:15" x14ac:dyDescent="0.3">
      <c r="A236" t="s">
        <v>427</v>
      </c>
      <c r="B236" t="s">
        <v>1427</v>
      </c>
      <c r="C236" t="s">
        <v>2427</v>
      </c>
      <c r="D236" t="s">
        <v>3427</v>
      </c>
      <c r="E236" t="s">
        <v>4427</v>
      </c>
      <c r="F236">
        <v>38</v>
      </c>
      <c r="G236" t="s">
        <v>5016</v>
      </c>
      <c r="H236" t="s">
        <v>5021</v>
      </c>
      <c r="I236" t="s">
        <v>5024</v>
      </c>
      <c r="J236">
        <v>52269</v>
      </c>
      <c r="K236">
        <v>94</v>
      </c>
      <c r="L236" s="7">
        <v>45054</v>
      </c>
      <c r="M236" t="s">
        <v>5028</v>
      </c>
      <c r="N236">
        <v>6</v>
      </c>
      <c r="O236">
        <v>6739</v>
      </c>
    </row>
    <row r="237" spans="1:15" x14ac:dyDescent="0.3">
      <c r="A237" t="s">
        <v>402</v>
      </c>
      <c r="B237" t="s">
        <v>1402</v>
      </c>
      <c r="C237" t="s">
        <v>2402</v>
      </c>
      <c r="D237" t="s">
        <v>3402</v>
      </c>
      <c r="E237" t="s">
        <v>4402</v>
      </c>
      <c r="F237">
        <v>36</v>
      </c>
      <c r="G237" t="s">
        <v>5016</v>
      </c>
      <c r="H237" t="s">
        <v>5021</v>
      </c>
      <c r="I237" t="s">
        <v>5026</v>
      </c>
      <c r="J237">
        <v>52310</v>
      </c>
      <c r="K237">
        <v>65</v>
      </c>
      <c r="L237" s="7">
        <v>45267</v>
      </c>
      <c r="M237" t="s">
        <v>5029</v>
      </c>
      <c r="N237">
        <v>6</v>
      </c>
      <c r="O237">
        <v>3459</v>
      </c>
    </row>
    <row r="238" spans="1:15" x14ac:dyDescent="0.3">
      <c r="A238" t="s">
        <v>334</v>
      </c>
      <c r="B238" t="s">
        <v>1334</v>
      </c>
      <c r="C238" t="s">
        <v>2334</v>
      </c>
      <c r="D238" t="s">
        <v>3334</v>
      </c>
      <c r="E238" t="s">
        <v>4334</v>
      </c>
      <c r="F238">
        <v>28</v>
      </c>
      <c r="G238" t="s">
        <v>5017</v>
      </c>
      <c r="H238" t="s">
        <v>5022</v>
      </c>
      <c r="I238" t="s">
        <v>5026</v>
      </c>
      <c r="J238">
        <v>52440</v>
      </c>
      <c r="K238">
        <v>65</v>
      </c>
      <c r="L238" s="7">
        <v>45001</v>
      </c>
      <c r="M238" t="s">
        <v>5029</v>
      </c>
      <c r="N238">
        <v>4</v>
      </c>
      <c r="O238">
        <v>1544</v>
      </c>
    </row>
    <row r="239" spans="1:15" x14ac:dyDescent="0.3">
      <c r="A239" t="s">
        <v>176</v>
      </c>
      <c r="B239" t="s">
        <v>1176</v>
      </c>
      <c r="C239" t="s">
        <v>2176</v>
      </c>
      <c r="D239" t="s">
        <v>3176</v>
      </c>
      <c r="E239" t="s">
        <v>4176</v>
      </c>
      <c r="F239">
        <v>42</v>
      </c>
      <c r="G239" t="s">
        <v>5015</v>
      </c>
      <c r="H239" t="s">
        <v>5018</v>
      </c>
      <c r="I239" t="s">
        <v>5026</v>
      </c>
      <c r="J239">
        <v>52445</v>
      </c>
      <c r="K239">
        <v>23</v>
      </c>
      <c r="L239" s="7">
        <v>44990</v>
      </c>
      <c r="M239" t="s">
        <v>5030</v>
      </c>
      <c r="N239">
        <v>9</v>
      </c>
      <c r="O239">
        <v>4177</v>
      </c>
    </row>
    <row r="240" spans="1:15" x14ac:dyDescent="0.3">
      <c r="A240" t="s">
        <v>55</v>
      </c>
      <c r="B240" t="s">
        <v>1055</v>
      </c>
      <c r="C240" t="s">
        <v>2055</v>
      </c>
      <c r="D240" t="s">
        <v>3055</v>
      </c>
      <c r="E240" t="s">
        <v>4055</v>
      </c>
      <c r="F240">
        <v>68</v>
      </c>
      <c r="G240" t="s">
        <v>5015</v>
      </c>
      <c r="H240" t="s">
        <v>5022</v>
      </c>
      <c r="I240" t="s">
        <v>5026</v>
      </c>
      <c r="J240">
        <v>52674</v>
      </c>
      <c r="K240">
        <v>15</v>
      </c>
      <c r="L240" s="7">
        <v>44997</v>
      </c>
      <c r="M240" t="s">
        <v>5028</v>
      </c>
      <c r="N240">
        <v>8</v>
      </c>
      <c r="O240">
        <v>2956</v>
      </c>
    </row>
    <row r="241" spans="1:15" x14ac:dyDescent="0.3">
      <c r="A241" t="s">
        <v>658</v>
      </c>
      <c r="B241" t="s">
        <v>1658</v>
      </c>
      <c r="C241" t="s">
        <v>2658</v>
      </c>
      <c r="D241" t="s">
        <v>3658</v>
      </c>
      <c r="E241" t="s">
        <v>4658</v>
      </c>
      <c r="F241">
        <v>27</v>
      </c>
      <c r="G241" t="s">
        <v>5016</v>
      </c>
      <c r="H241" t="s">
        <v>5019</v>
      </c>
      <c r="I241" t="s">
        <v>5025</v>
      </c>
      <c r="J241">
        <v>52854</v>
      </c>
      <c r="K241">
        <v>57</v>
      </c>
      <c r="L241" s="7">
        <v>45218</v>
      </c>
      <c r="M241" t="s">
        <v>5029</v>
      </c>
      <c r="N241">
        <v>8</v>
      </c>
      <c r="O241">
        <v>5989</v>
      </c>
    </row>
    <row r="242" spans="1:15" x14ac:dyDescent="0.3">
      <c r="A242" t="s">
        <v>525</v>
      </c>
      <c r="B242" t="s">
        <v>1525</v>
      </c>
      <c r="C242" t="s">
        <v>2525</v>
      </c>
      <c r="D242" t="s">
        <v>3525</v>
      </c>
      <c r="E242" t="s">
        <v>4525</v>
      </c>
      <c r="F242">
        <v>44</v>
      </c>
      <c r="G242" t="s">
        <v>5016</v>
      </c>
      <c r="H242" t="s">
        <v>5021</v>
      </c>
      <c r="I242" t="s">
        <v>5026</v>
      </c>
      <c r="J242">
        <v>53026</v>
      </c>
      <c r="K242">
        <v>0</v>
      </c>
      <c r="L242" s="7">
        <v>44945</v>
      </c>
      <c r="M242" t="s">
        <v>5029</v>
      </c>
      <c r="N242">
        <v>5</v>
      </c>
      <c r="O242">
        <v>2927</v>
      </c>
    </row>
    <row r="243" spans="1:15" x14ac:dyDescent="0.3">
      <c r="A243" t="s">
        <v>239</v>
      </c>
      <c r="B243" t="s">
        <v>1239</v>
      </c>
      <c r="C243" t="s">
        <v>2239</v>
      </c>
      <c r="D243" t="s">
        <v>3239</v>
      </c>
      <c r="E243" t="s">
        <v>4239</v>
      </c>
      <c r="F243">
        <v>69</v>
      </c>
      <c r="G243" t="s">
        <v>5016</v>
      </c>
      <c r="H243" t="s">
        <v>5021</v>
      </c>
      <c r="I243" t="s">
        <v>5026</v>
      </c>
      <c r="J243">
        <v>53155</v>
      </c>
      <c r="K243">
        <v>26</v>
      </c>
      <c r="L243" s="7">
        <v>44988</v>
      </c>
      <c r="M243" t="s">
        <v>5029</v>
      </c>
      <c r="N243">
        <v>9</v>
      </c>
      <c r="O243">
        <v>7003</v>
      </c>
    </row>
    <row r="244" spans="1:15" x14ac:dyDescent="0.3">
      <c r="A244" t="s">
        <v>753</v>
      </c>
      <c r="B244" t="s">
        <v>1753</v>
      </c>
      <c r="C244" t="s">
        <v>2753</v>
      </c>
      <c r="D244" t="s">
        <v>3753</v>
      </c>
      <c r="E244" t="s">
        <v>4753</v>
      </c>
      <c r="F244">
        <v>48</v>
      </c>
      <c r="G244" t="s">
        <v>5017</v>
      </c>
      <c r="H244" t="s">
        <v>5019</v>
      </c>
      <c r="I244" t="s">
        <v>5027</v>
      </c>
      <c r="J244">
        <v>53310</v>
      </c>
      <c r="K244">
        <v>65</v>
      </c>
      <c r="L244" s="7">
        <v>45245</v>
      </c>
      <c r="M244" t="s">
        <v>5029</v>
      </c>
      <c r="N244">
        <v>1</v>
      </c>
      <c r="O244">
        <v>218</v>
      </c>
    </row>
    <row r="245" spans="1:15" x14ac:dyDescent="0.3">
      <c r="A245" t="s">
        <v>172</v>
      </c>
      <c r="B245" t="s">
        <v>1172</v>
      </c>
      <c r="C245" t="s">
        <v>2172</v>
      </c>
      <c r="D245" t="s">
        <v>3172</v>
      </c>
      <c r="E245" t="s">
        <v>4172</v>
      </c>
      <c r="F245">
        <v>21</v>
      </c>
      <c r="G245" t="s">
        <v>5017</v>
      </c>
      <c r="H245" t="s">
        <v>5021</v>
      </c>
      <c r="I245" t="s">
        <v>5023</v>
      </c>
      <c r="J245">
        <v>53405</v>
      </c>
      <c r="K245">
        <v>12</v>
      </c>
      <c r="L245" s="7">
        <v>45010</v>
      </c>
      <c r="M245" t="s">
        <v>5028</v>
      </c>
      <c r="N245">
        <v>7</v>
      </c>
      <c r="O245">
        <v>7371</v>
      </c>
    </row>
    <row r="246" spans="1:15" x14ac:dyDescent="0.3">
      <c r="A246" t="s">
        <v>891</v>
      </c>
      <c r="B246" t="s">
        <v>1891</v>
      </c>
      <c r="C246" t="s">
        <v>2891</v>
      </c>
      <c r="D246" t="s">
        <v>3891</v>
      </c>
      <c r="E246" t="s">
        <v>4891</v>
      </c>
      <c r="F246">
        <v>70</v>
      </c>
      <c r="G246" t="s">
        <v>5016</v>
      </c>
      <c r="H246" t="s">
        <v>5021</v>
      </c>
      <c r="I246" t="s">
        <v>5027</v>
      </c>
      <c r="J246">
        <v>53529</v>
      </c>
      <c r="K246">
        <v>39</v>
      </c>
      <c r="L246" s="7">
        <v>45177</v>
      </c>
      <c r="M246" t="s">
        <v>5030</v>
      </c>
      <c r="N246">
        <v>1</v>
      </c>
      <c r="O246">
        <v>2062</v>
      </c>
    </row>
    <row r="247" spans="1:15" x14ac:dyDescent="0.3">
      <c r="A247" t="s">
        <v>370</v>
      </c>
      <c r="B247" t="s">
        <v>1370</v>
      </c>
      <c r="C247" t="s">
        <v>2370</v>
      </c>
      <c r="D247" t="s">
        <v>3370</v>
      </c>
      <c r="E247" t="s">
        <v>4370</v>
      </c>
      <c r="F247">
        <v>34</v>
      </c>
      <c r="G247" t="s">
        <v>5015</v>
      </c>
      <c r="H247" t="s">
        <v>5018</v>
      </c>
      <c r="I247" t="s">
        <v>5024</v>
      </c>
      <c r="J247">
        <v>53593</v>
      </c>
      <c r="K247">
        <v>44</v>
      </c>
      <c r="L247" s="7">
        <v>45148</v>
      </c>
      <c r="M247" t="s">
        <v>5028</v>
      </c>
      <c r="N247">
        <v>5</v>
      </c>
      <c r="O247">
        <v>8261</v>
      </c>
    </row>
    <row r="248" spans="1:15" x14ac:dyDescent="0.3">
      <c r="A248" t="s">
        <v>516</v>
      </c>
      <c r="B248" t="s">
        <v>1516</v>
      </c>
      <c r="C248" t="s">
        <v>2516</v>
      </c>
      <c r="D248" t="s">
        <v>3516</v>
      </c>
      <c r="E248" t="s">
        <v>4516</v>
      </c>
      <c r="F248">
        <v>25</v>
      </c>
      <c r="G248" t="s">
        <v>5017</v>
      </c>
      <c r="H248" t="s">
        <v>5022</v>
      </c>
      <c r="I248" t="s">
        <v>5027</v>
      </c>
      <c r="J248">
        <v>53781</v>
      </c>
      <c r="K248">
        <v>8</v>
      </c>
      <c r="L248" s="7">
        <v>45193</v>
      </c>
      <c r="M248" t="s">
        <v>5028</v>
      </c>
      <c r="N248">
        <v>1</v>
      </c>
      <c r="O248">
        <v>1702</v>
      </c>
    </row>
    <row r="249" spans="1:15" x14ac:dyDescent="0.3">
      <c r="A249" t="s">
        <v>211</v>
      </c>
      <c r="B249" t="s">
        <v>1211</v>
      </c>
      <c r="C249" t="s">
        <v>2211</v>
      </c>
      <c r="D249" t="s">
        <v>3211</v>
      </c>
      <c r="E249" t="s">
        <v>4211</v>
      </c>
      <c r="F249">
        <v>67</v>
      </c>
      <c r="G249" t="s">
        <v>5016</v>
      </c>
      <c r="H249" t="s">
        <v>5019</v>
      </c>
      <c r="I249" t="s">
        <v>5024</v>
      </c>
      <c r="J249">
        <v>53886</v>
      </c>
      <c r="K249">
        <v>76</v>
      </c>
      <c r="L249" s="7">
        <v>45218</v>
      </c>
      <c r="M249" t="s">
        <v>5029</v>
      </c>
      <c r="N249">
        <v>4</v>
      </c>
      <c r="O249">
        <v>5016</v>
      </c>
    </row>
    <row r="250" spans="1:15" x14ac:dyDescent="0.3">
      <c r="A250" t="s">
        <v>39</v>
      </c>
      <c r="B250" t="s">
        <v>1039</v>
      </c>
      <c r="C250" t="s">
        <v>2039</v>
      </c>
      <c r="D250" t="s">
        <v>3039</v>
      </c>
      <c r="E250" t="s">
        <v>4039</v>
      </c>
      <c r="F250">
        <v>31</v>
      </c>
      <c r="G250" t="s">
        <v>5015</v>
      </c>
      <c r="H250" t="s">
        <v>5022</v>
      </c>
      <c r="I250" t="s">
        <v>5026</v>
      </c>
      <c r="J250">
        <v>53964</v>
      </c>
      <c r="K250">
        <v>1</v>
      </c>
      <c r="L250" s="7">
        <v>45040</v>
      </c>
      <c r="M250" t="s">
        <v>5029</v>
      </c>
      <c r="N250">
        <v>7</v>
      </c>
      <c r="O250">
        <v>5231</v>
      </c>
    </row>
    <row r="251" spans="1:15" x14ac:dyDescent="0.3">
      <c r="A251" t="s">
        <v>70</v>
      </c>
      <c r="B251" t="s">
        <v>1070</v>
      </c>
      <c r="C251" t="s">
        <v>2070</v>
      </c>
      <c r="D251" t="s">
        <v>3070</v>
      </c>
      <c r="E251" t="s">
        <v>4070</v>
      </c>
      <c r="F251">
        <v>30</v>
      </c>
      <c r="G251" t="s">
        <v>5017</v>
      </c>
      <c r="H251" t="s">
        <v>5021</v>
      </c>
      <c r="I251" t="s">
        <v>5023</v>
      </c>
      <c r="J251">
        <v>54336</v>
      </c>
      <c r="K251">
        <v>80</v>
      </c>
      <c r="L251" s="7">
        <v>45257</v>
      </c>
      <c r="M251" t="s">
        <v>5030</v>
      </c>
      <c r="N251">
        <v>8</v>
      </c>
      <c r="O251">
        <v>2970</v>
      </c>
    </row>
    <row r="252" spans="1:15" x14ac:dyDescent="0.3">
      <c r="A252" t="s">
        <v>522</v>
      </c>
      <c r="B252" t="s">
        <v>1522</v>
      </c>
      <c r="C252" t="s">
        <v>2522</v>
      </c>
      <c r="D252" t="s">
        <v>3522</v>
      </c>
      <c r="E252" t="s">
        <v>4522</v>
      </c>
      <c r="F252">
        <v>39</v>
      </c>
      <c r="G252" t="s">
        <v>5015</v>
      </c>
      <c r="H252" t="s">
        <v>5022</v>
      </c>
      <c r="I252" t="s">
        <v>5024</v>
      </c>
      <c r="J252">
        <v>54346</v>
      </c>
      <c r="K252">
        <v>64</v>
      </c>
      <c r="L252" s="7">
        <v>45205</v>
      </c>
      <c r="M252" t="s">
        <v>5029</v>
      </c>
      <c r="N252">
        <v>2</v>
      </c>
      <c r="O252">
        <v>9855</v>
      </c>
    </row>
    <row r="253" spans="1:15" x14ac:dyDescent="0.3">
      <c r="A253" t="s">
        <v>822</v>
      </c>
      <c r="B253" t="s">
        <v>1822</v>
      </c>
      <c r="C253" t="s">
        <v>2822</v>
      </c>
      <c r="D253" t="s">
        <v>3822</v>
      </c>
      <c r="E253" t="s">
        <v>4822</v>
      </c>
      <c r="F253">
        <v>43</v>
      </c>
      <c r="G253" t="s">
        <v>5017</v>
      </c>
      <c r="H253" t="s">
        <v>5022</v>
      </c>
      <c r="I253" t="s">
        <v>5027</v>
      </c>
      <c r="J253">
        <v>54574</v>
      </c>
      <c r="K253">
        <v>42</v>
      </c>
      <c r="L253" s="7">
        <v>44933</v>
      </c>
      <c r="M253" t="s">
        <v>5029</v>
      </c>
      <c r="N253">
        <v>8</v>
      </c>
      <c r="O253">
        <v>2880</v>
      </c>
    </row>
    <row r="254" spans="1:15" x14ac:dyDescent="0.3">
      <c r="A254" t="s">
        <v>271</v>
      </c>
      <c r="B254" t="s">
        <v>1271</v>
      </c>
      <c r="C254" t="s">
        <v>2271</v>
      </c>
      <c r="D254" t="s">
        <v>3271</v>
      </c>
      <c r="E254" t="s">
        <v>4271</v>
      </c>
      <c r="F254">
        <v>45</v>
      </c>
      <c r="G254" t="s">
        <v>5017</v>
      </c>
      <c r="H254" t="s">
        <v>5018</v>
      </c>
      <c r="I254" t="s">
        <v>5027</v>
      </c>
      <c r="J254">
        <v>54699</v>
      </c>
      <c r="K254">
        <v>31</v>
      </c>
      <c r="L254" s="7">
        <v>45255</v>
      </c>
      <c r="M254" t="s">
        <v>5030</v>
      </c>
      <c r="N254">
        <v>6</v>
      </c>
      <c r="O254">
        <v>7268</v>
      </c>
    </row>
    <row r="255" spans="1:15" x14ac:dyDescent="0.3">
      <c r="A255" t="s">
        <v>326</v>
      </c>
      <c r="B255" t="s">
        <v>1326</v>
      </c>
      <c r="C255" t="s">
        <v>2326</v>
      </c>
      <c r="D255" t="s">
        <v>3326</v>
      </c>
      <c r="E255" t="s">
        <v>4326</v>
      </c>
      <c r="F255">
        <v>39</v>
      </c>
      <c r="G255" t="s">
        <v>5015</v>
      </c>
      <c r="H255" t="s">
        <v>5021</v>
      </c>
      <c r="I255" t="s">
        <v>5024</v>
      </c>
      <c r="J255">
        <v>54891</v>
      </c>
      <c r="K255">
        <v>43</v>
      </c>
      <c r="L255" s="7">
        <v>45118</v>
      </c>
      <c r="M255" t="s">
        <v>5029</v>
      </c>
      <c r="N255">
        <v>6</v>
      </c>
      <c r="O255">
        <v>8126</v>
      </c>
    </row>
    <row r="256" spans="1:15" x14ac:dyDescent="0.3">
      <c r="A256" t="s">
        <v>155</v>
      </c>
      <c r="B256" t="s">
        <v>1155</v>
      </c>
      <c r="C256" t="s">
        <v>2155</v>
      </c>
      <c r="D256" t="s">
        <v>3155</v>
      </c>
      <c r="E256" t="s">
        <v>4155</v>
      </c>
      <c r="F256">
        <v>20</v>
      </c>
      <c r="G256" t="s">
        <v>5016</v>
      </c>
      <c r="H256" t="s">
        <v>5022</v>
      </c>
      <c r="I256" t="s">
        <v>5023</v>
      </c>
      <c r="J256">
        <v>55296</v>
      </c>
      <c r="K256">
        <v>24</v>
      </c>
      <c r="L256" s="7">
        <v>45239</v>
      </c>
      <c r="M256" t="s">
        <v>5029</v>
      </c>
      <c r="N256">
        <v>5</v>
      </c>
      <c r="O256">
        <v>1381</v>
      </c>
    </row>
    <row r="257" spans="1:15" x14ac:dyDescent="0.3">
      <c r="A257" t="s">
        <v>627</v>
      </c>
      <c r="B257" t="s">
        <v>1627</v>
      </c>
      <c r="C257" t="s">
        <v>2627</v>
      </c>
      <c r="D257" t="s">
        <v>3627</v>
      </c>
      <c r="E257" t="s">
        <v>4627</v>
      </c>
      <c r="F257">
        <v>35</v>
      </c>
      <c r="G257" t="s">
        <v>5016</v>
      </c>
      <c r="H257" t="s">
        <v>5018</v>
      </c>
      <c r="I257" t="s">
        <v>5027</v>
      </c>
      <c r="J257">
        <v>55302</v>
      </c>
      <c r="K257">
        <v>14</v>
      </c>
      <c r="L257" s="7">
        <v>45259</v>
      </c>
      <c r="M257" t="s">
        <v>5029</v>
      </c>
      <c r="N257">
        <v>4</v>
      </c>
      <c r="O257">
        <v>5876</v>
      </c>
    </row>
    <row r="258" spans="1:15" x14ac:dyDescent="0.3">
      <c r="A258" t="s">
        <v>36</v>
      </c>
      <c r="B258" t="s">
        <v>1036</v>
      </c>
      <c r="C258" t="s">
        <v>2036</v>
      </c>
      <c r="D258" t="s">
        <v>3036</v>
      </c>
      <c r="E258" t="s">
        <v>4036</v>
      </c>
      <c r="F258">
        <v>50</v>
      </c>
      <c r="G258" t="s">
        <v>5016</v>
      </c>
      <c r="H258" t="s">
        <v>5019</v>
      </c>
      <c r="I258" t="s">
        <v>5027</v>
      </c>
      <c r="J258">
        <v>55327</v>
      </c>
      <c r="K258">
        <v>40</v>
      </c>
      <c r="L258" s="7">
        <v>44996</v>
      </c>
      <c r="M258" t="s">
        <v>5028</v>
      </c>
      <c r="N258">
        <v>2</v>
      </c>
      <c r="O258">
        <v>2576</v>
      </c>
    </row>
    <row r="259" spans="1:15" x14ac:dyDescent="0.3">
      <c r="A259" t="s">
        <v>228</v>
      </c>
      <c r="B259" t="s">
        <v>1228</v>
      </c>
      <c r="C259" t="s">
        <v>2228</v>
      </c>
      <c r="D259" t="s">
        <v>3228</v>
      </c>
      <c r="E259" t="s">
        <v>4228</v>
      </c>
      <c r="F259">
        <v>39</v>
      </c>
      <c r="G259" t="s">
        <v>5016</v>
      </c>
      <c r="H259" t="s">
        <v>5021</v>
      </c>
      <c r="I259" t="s">
        <v>5025</v>
      </c>
      <c r="J259">
        <v>55346</v>
      </c>
      <c r="K259">
        <v>99</v>
      </c>
      <c r="L259" s="7">
        <v>44974</v>
      </c>
      <c r="M259" t="s">
        <v>5029</v>
      </c>
      <c r="N259">
        <v>6</v>
      </c>
      <c r="O259">
        <v>5353</v>
      </c>
    </row>
    <row r="260" spans="1:15" x14ac:dyDescent="0.3">
      <c r="A260" t="s">
        <v>832</v>
      </c>
      <c r="B260" t="s">
        <v>1832</v>
      </c>
      <c r="C260" t="s">
        <v>2832</v>
      </c>
      <c r="D260" t="s">
        <v>3832</v>
      </c>
      <c r="E260" t="s">
        <v>4832</v>
      </c>
      <c r="F260">
        <v>49</v>
      </c>
      <c r="G260" t="s">
        <v>5017</v>
      </c>
      <c r="H260" t="s">
        <v>5020</v>
      </c>
      <c r="I260" t="s">
        <v>5025</v>
      </c>
      <c r="J260">
        <v>55519</v>
      </c>
      <c r="K260">
        <v>59</v>
      </c>
      <c r="L260" s="7">
        <v>45111</v>
      </c>
      <c r="M260" t="s">
        <v>5030</v>
      </c>
      <c r="N260">
        <v>5</v>
      </c>
      <c r="O260">
        <v>1373</v>
      </c>
    </row>
    <row r="261" spans="1:15" x14ac:dyDescent="0.3">
      <c r="A261" t="s">
        <v>524</v>
      </c>
      <c r="B261" t="s">
        <v>1524</v>
      </c>
      <c r="C261" t="s">
        <v>2524</v>
      </c>
      <c r="D261" t="s">
        <v>3524</v>
      </c>
      <c r="E261" t="s">
        <v>4524</v>
      </c>
      <c r="F261">
        <v>70</v>
      </c>
      <c r="G261" t="s">
        <v>5016</v>
      </c>
      <c r="H261" t="s">
        <v>5021</v>
      </c>
      <c r="I261" t="s">
        <v>5024</v>
      </c>
      <c r="J261">
        <v>55616</v>
      </c>
      <c r="K261">
        <v>86</v>
      </c>
      <c r="L261" s="7">
        <v>45224</v>
      </c>
      <c r="M261" t="s">
        <v>5028</v>
      </c>
      <c r="N261">
        <v>1</v>
      </c>
      <c r="O261">
        <v>3897</v>
      </c>
    </row>
    <row r="262" spans="1:15" x14ac:dyDescent="0.3">
      <c r="A262" t="s">
        <v>988</v>
      </c>
      <c r="B262" t="s">
        <v>1988</v>
      </c>
      <c r="C262" t="s">
        <v>2988</v>
      </c>
      <c r="D262" t="s">
        <v>3988</v>
      </c>
      <c r="E262" t="s">
        <v>4988</v>
      </c>
      <c r="F262">
        <v>68</v>
      </c>
      <c r="G262" t="s">
        <v>5015</v>
      </c>
      <c r="H262" t="s">
        <v>5022</v>
      </c>
      <c r="I262" t="s">
        <v>5027</v>
      </c>
      <c r="J262">
        <v>55880</v>
      </c>
      <c r="K262">
        <v>21</v>
      </c>
      <c r="L262" s="7">
        <v>44975</v>
      </c>
      <c r="M262" t="s">
        <v>5028</v>
      </c>
      <c r="N262">
        <v>10</v>
      </c>
      <c r="O262">
        <v>3438</v>
      </c>
    </row>
    <row r="263" spans="1:15" x14ac:dyDescent="0.3">
      <c r="A263" t="s">
        <v>456</v>
      </c>
      <c r="B263" t="s">
        <v>1456</v>
      </c>
      <c r="C263" t="s">
        <v>2456</v>
      </c>
      <c r="D263" t="s">
        <v>3456</v>
      </c>
      <c r="E263" t="s">
        <v>4456</v>
      </c>
      <c r="F263">
        <v>54</v>
      </c>
      <c r="G263" t="s">
        <v>5017</v>
      </c>
      <c r="H263" t="s">
        <v>5018</v>
      </c>
      <c r="I263" t="s">
        <v>5025</v>
      </c>
      <c r="J263">
        <v>55975</v>
      </c>
      <c r="K263">
        <v>9</v>
      </c>
      <c r="L263" s="7">
        <v>44965</v>
      </c>
      <c r="M263" t="s">
        <v>5029</v>
      </c>
      <c r="N263">
        <v>9</v>
      </c>
      <c r="O263">
        <v>3310</v>
      </c>
    </row>
    <row r="264" spans="1:15" x14ac:dyDescent="0.3">
      <c r="A264" t="s">
        <v>932</v>
      </c>
      <c r="B264" t="s">
        <v>1932</v>
      </c>
      <c r="C264" t="s">
        <v>2932</v>
      </c>
      <c r="D264" t="s">
        <v>3932</v>
      </c>
      <c r="E264" t="s">
        <v>4932</v>
      </c>
      <c r="F264">
        <v>46</v>
      </c>
      <c r="G264" t="s">
        <v>5017</v>
      </c>
      <c r="H264" t="s">
        <v>5018</v>
      </c>
      <c r="I264" t="s">
        <v>5025</v>
      </c>
      <c r="J264">
        <v>56290</v>
      </c>
      <c r="K264">
        <v>72</v>
      </c>
      <c r="L264" s="7">
        <v>45193</v>
      </c>
      <c r="M264" t="s">
        <v>5030</v>
      </c>
      <c r="N264">
        <v>5</v>
      </c>
      <c r="O264">
        <v>9719</v>
      </c>
    </row>
    <row r="265" spans="1:15" x14ac:dyDescent="0.3">
      <c r="A265" t="s">
        <v>538</v>
      </c>
      <c r="B265" t="s">
        <v>1538</v>
      </c>
      <c r="C265" t="s">
        <v>2538</v>
      </c>
      <c r="D265" t="s">
        <v>3538</v>
      </c>
      <c r="E265" t="s">
        <v>4538</v>
      </c>
      <c r="F265">
        <v>24</v>
      </c>
      <c r="G265" t="s">
        <v>5015</v>
      </c>
      <c r="H265" t="s">
        <v>5022</v>
      </c>
      <c r="I265" t="s">
        <v>5025</v>
      </c>
      <c r="J265">
        <v>56553</v>
      </c>
      <c r="K265">
        <v>45</v>
      </c>
      <c r="L265" s="7">
        <v>45105</v>
      </c>
      <c r="M265" t="s">
        <v>5029</v>
      </c>
      <c r="N265">
        <v>6</v>
      </c>
      <c r="O265">
        <v>9947</v>
      </c>
    </row>
    <row r="266" spans="1:15" x14ac:dyDescent="0.3">
      <c r="A266" t="s">
        <v>22</v>
      </c>
      <c r="B266" t="s">
        <v>1022</v>
      </c>
      <c r="C266" t="s">
        <v>2022</v>
      </c>
      <c r="D266" t="s">
        <v>3022</v>
      </c>
      <c r="E266" t="s">
        <v>4022</v>
      </c>
      <c r="F266">
        <v>58</v>
      </c>
      <c r="G266" t="s">
        <v>5017</v>
      </c>
      <c r="H266" t="s">
        <v>5021</v>
      </c>
      <c r="I266" t="s">
        <v>5024</v>
      </c>
      <c r="J266">
        <v>56603</v>
      </c>
      <c r="K266">
        <v>66</v>
      </c>
      <c r="L266" s="7">
        <v>44937</v>
      </c>
      <c r="M266" t="s">
        <v>5028</v>
      </c>
      <c r="N266">
        <v>7</v>
      </c>
      <c r="O266">
        <v>7438</v>
      </c>
    </row>
    <row r="267" spans="1:15" x14ac:dyDescent="0.3">
      <c r="A267" t="s">
        <v>251</v>
      </c>
      <c r="B267" t="s">
        <v>1251</v>
      </c>
      <c r="C267" t="s">
        <v>2251</v>
      </c>
      <c r="D267" t="s">
        <v>3251</v>
      </c>
      <c r="E267" t="s">
        <v>4251</v>
      </c>
      <c r="F267">
        <v>64</v>
      </c>
      <c r="G267" t="s">
        <v>5016</v>
      </c>
      <c r="H267" t="s">
        <v>5021</v>
      </c>
      <c r="I267" t="s">
        <v>5026</v>
      </c>
      <c r="J267">
        <v>56645</v>
      </c>
      <c r="K267">
        <v>48</v>
      </c>
      <c r="L267" s="7">
        <v>45256</v>
      </c>
      <c r="M267" t="s">
        <v>5029</v>
      </c>
      <c r="N267">
        <v>9</v>
      </c>
      <c r="O267">
        <v>2466</v>
      </c>
    </row>
    <row r="268" spans="1:15" x14ac:dyDescent="0.3">
      <c r="A268" t="s">
        <v>970</v>
      </c>
      <c r="B268" t="s">
        <v>1970</v>
      </c>
      <c r="C268" t="s">
        <v>2970</v>
      </c>
      <c r="D268" t="s">
        <v>3970</v>
      </c>
      <c r="E268" t="s">
        <v>4970</v>
      </c>
      <c r="F268">
        <v>49</v>
      </c>
      <c r="G268" t="s">
        <v>5017</v>
      </c>
      <c r="H268" t="s">
        <v>5018</v>
      </c>
      <c r="I268" t="s">
        <v>5023</v>
      </c>
      <c r="J268">
        <v>56660</v>
      </c>
      <c r="K268">
        <v>79</v>
      </c>
      <c r="L268" s="7">
        <v>45274</v>
      </c>
      <c r="M268" t="s">
        <v>5030</v>
      </c>
      <c r="N268">
        <v>10</v>
      </c>
      <c r="O268">
        <v>323</v>
      </c>
    </row>
    <row r="269" spans="1:15" x14ac:dyDescent="0.3">
      <c r="A269" t="s">
        <v>687</v>
      </c>
      <c r="B269" t="s">
        <v>1687</v>
      </c>
      <c r="C269" t="s">
        <v>2687</v>
      </c>
      <c r="D269" t="s">
        <v>3687</v>
      </c>
      <c r="E269" t="s">
        <v>4687</v>
      </c>
      <c r="F269">
        <v>54</v>
      </c>
      <c r="G269" t="s">
        <v>5016</v>
      </c>
      <c r="H269" t="s">
        <v>5019</v>
      </c>
      <c r="I269" t="s">
        <v>5027</v>
      </c>
      <c r="J269">
        <v>57040</v>
      </c>
      <c r="K269">
        <v>82</v>
      </c>
      <c r="L269" s="7">
        <v>44948</v>
      </c>
      <c r="M269" t="s">
        <v>5028</v>
      </c>
      <c r="N269">
        <v>4</v>
      </c>
      <c r="O269">
        <v>7273</v>
      </c>
    </row>
    <row r="270" spans="1:15" x14ac:dyDescent="0.3">
      <c r="A270" t="s">
        <v>768</v>
      </c>
      <c r="B270" t="s">
        <v>1768</v>
      </c>
      <c r="C270" t="s">
        <v>2768</v>
      </c>
      <c r="D270" t="s">
        <v>3768</v>
      </c>
      <c r="E270" t="s">
        <v>4768</v>
      </c>
      <c r="F270">
        <v>30</v>
      </c>
      <c r="G270" t="s">
        <v>5015</v>
      </c>
      <c r="H270" t="s">
        <v>5022</v>
      </c>
      <c r="I270" t="s">
        <v>5024</v>
      </c>
      <c r="J270">
        <v>57161</v>
      </c>
      <c r="K270">
        <v>75</v>
      </c>
      <c r="L270" s="7">
        <v>45185</v>
      </c>
      <c r="M270" t="s">
        <v>5029</v>
      </c>
      <c r="N270">
        <v>10</v>
      </c>
      <c r="O270">
        <v>7770</v>
      </c>
    </row>
    <row r="271" spans="1:15" x14ac:dyDescent="0.3">
      <c r="A271" t="s">
        <v>611</v>
      </c>
      <c r="B271" t="s">
        <v>1611</v>
      </c>
      <c r="C271" t="s">
        <v>2611</v>
      </c>
      <c r="D271" t="s">
        <v>3611</v>
      </c>
      <c r="E271" t="s">
        <v>4611</v>
      </c>
      <c r="F271">
        <v>40</v>
      </c>
      <c r="G271" t="s">
        <v>5017</v>
      </c>
      <c r="H271" t="s">
        <v>5018</v>
      </c>
      <c r="I271" t="s">
        <v>5024</v>
      </c>
      <c r="J271">
        <v>57294</v>
      </c>
      <c r="K271">
        <v>2</v>
      </c>
      <c r="L271" s="7">
        <v>45115</v>
      </c>
      <c r="M271" t="s">
        <v>5029</v>
      </c>
      <c r="N271">
        <v>3</v>
      </c>
      <c r="O271">
        <v>2095</v>
      </c>
    </row>
    <row r="272" spans="1:15" x14ac:dyDescent="0.3">
      <c r="A272" t="s">
        <v>360</v>
      </c>
      <c r="B272" t="s">
        <v>1360</v>
      </c>
      <c r="C272" t="s">
        <v>2360</v>
      </c>
      <c r="D272" t="s">
        <v>3360</v>
      </c>
      <c r="E272" t="s">
        <v>4360</v>
      </c>
      <c r="F272">
        <v>41</v>
      </c>
      <c r="G272" t="s">
        <v>5016</v>
      </c>
      <c r="H272" t="s">
        <v>5021</v>
      </c>
      <c r="I272" t="s">
        <v>5027</v>
      </c>
      <c r="J272">
        <v>57309</v>
      </c>
      <c r="K272">
        <v>82</v>
      </c>
      <c r="L272" s="7">
        <v>45095</v>
      </c>
      <c r="M272" t="s">
        <v>5030</v>
      </c>
      <c r="N272">
        <v>6</v>
      </c>
      <c r="O272">
        <v>4616</v>
      </c>
    </row>
    <row r="273" spans="1:15" x14ac:dyDescent="0.3">
      <c r="A273" t="s">
        <v>368</v>
      </c>
      <c r="B273" t="s">
        <v>1368</v>
      </c>
      <c r="C273" t="s">
        <v>2368</v>
      </c>
      <c r="D273" t="s">
        <v>3368</v>
      </c>
      <c r="E273" t="s">
        <v>4368</v>
      </c>
      <c r="F273">
        <v>30</v>
      </c>
      <c r="G273" t="s">
        <v>5016</v>
      </c>
      <c r="H273" t="s">
        <v>5021</v>
      </c>
      <c r="I273" t="s">
        <v>5025</v>
      </c>
      <c r="J273">
        <v>57538</v>
      </c>
      <c r="K273">
        <v>92</v>
      </c>
      <c r="L273" s="7">
        <v>45204</v>
      </c>
      <c r="M273" t="s">
        <v>5030</v>
      </c>
      <c r="N273">
        <v>3</v>
      </c>
      <c r="O273">
        <v>6433</v>
      </c>
    </row>
    <row r="274" spans="1:15" x14ac:dyDescent="0.3">
      <c r="A274" t="s">
        <v>247</v>
      </c>
      <c r="B274" t="s">
        <v>1247</v>
      </c>
      <c r="C274" t="s">
        <v>2247</v>
      </c>
      <c r="D274" t="s">
        <v>3247</v>
      </c>
      <c r="E274" t="s">
        <v>4247</v>
      </c>
      <c r="F274">
        <v>51</v>
      </c>
      <c r="G274" t="s">
        <v>5017</v>
      </c>
      <c r="H274" t="s">
        <v>5018</v>
      </c>
      <c r="I274" t="s">
        <v>5024</v>
      </c>
      <c r="J274">
        <v>57703</v>
      </c>
      <c r="K274">
        <v>84</v>
      </c>
      <c r="L274" s="7">
        <v>44957</v>
      </c>
      <c r="M274" t="s">
        <v>5030</v>
      </c>
      <c r="N274">
        <v>9</v>
      </c>
      <c r="O274">
        <v>5395</v>
      </c>
    </row>
    <row r="275" spans="1:15" x14ac:dyDescent="0.3">
      <c r="A275" t="s">
        <v>340</v>
      </c>
      <c r="B275" t="s">
        <v>1340</v>
      </c>
      <c r="C275" t="s">
        <v>2340</v>
      </c>
      <c r="D275" t="s">
        <v>3340</v>
      </c>
      <c r="E275" t="s">
        <v>4340</v>
      </c>
      <c r="F275">
        <v>18</v>
      </c>
      <c r="G275" t="s">
        <v>5015</v>
      </c>
      <c r="H275" t="s">
        <v>5019</v>
      </c>
      <c r="I275" t="s">
        <v>5023</v>
      </c>
      <c r="J275">
        <v>57742</v>
      </c>
      <c r="K275">
        <v>6</v>
      </c>
      <c r="L275" s="7">
        <v>45204</v>
      </c>
      <c r="M275" t="s">
        <v>5029</v>
      </c>
      <c r="N275">
        <v>2</v>
      </c>
      <c r="O275">
        <v>419</v>
      </c>
    </row>
    <row r="276" spans="1:15" x14ac:dyDescent="0.3">
      <c r="A276" t="s">
        <v>905</v>
      </c>
      <c r="B276" t="s">
        <v>1905</v>
      </c>
      <c r="C276" t="s">
        <v>2905</v>
      </c>
      <c r="D276" t="s">
        <v>3905</v>
      </c>
      <c r="E276" t="s">
        <v>4905</v>
      </c>
      <c r="F276">
        <v>52</v>
      </c>
      <c r="G276" t="s">
        <v>5015</v>
      </c>
      <c r="H276" t="s">
        <v>5019</v>
      </c>
      <c r="I276" t="s">
        <v>5023</v>
      </c>
      <c r="J276">
        <v>57776</v>
      </c>
      <c r="K276">
        <v>89</v>
      </c>
      <c r="L276" s="7">
        <v>45289</v>
      </c>
      <c r="M276" t="s">
        <v>5029</v>
      </c>
      <c r="N276">
        <v>8</v>
      </c>
      <c r="O276">
        <v>1991</v>
      </c>
    </row>
    <row r="277" spans="1:15" x14ac:dyDescent="0.3">
      <c r="A277" t="s">
        <v>682</v>
      </c>
      <c r="B277" t="s">
        <v>1682</v>
      </c>
      <c r="C277" t="s">
        <v>2682</v>
      </c>
      <c r="D277" t="s">
        <v>3682</v>
      </c>
      <c r="E277" t="s">
        <v>4682</v>
      </c>
      <c r="F277">
        <v>65</v>
      </c>
      <c r="G277" t="s">
        <v>5015</v>
      </c>
      <c r="H277" t="s">
        <v>5022</v>
      </c>
      <c r="I277" t="s">
        <v>5025</v>
      </c>
      <c r="J277">
        <v>58258</v>
      </c>
      <c r="K277">
        <v>51</v>
      </c>
      <c r="L277" s="7">
        <v>45120</v>
      </c>
      <c r="M277" t="s">
        <v>5030</v>
      </c>
      <c r="N277">
        <v>3</v>
      </c>
      <c r="O277">
        <v>1086</v>
      </c>
    </row>
    <row r="278" spans="1:15" x14ac:dyDescent="0.3">
      <c r="A278" t="s">
        <v>131</v>
      </c>
      <c r="B278" t="s">
        <v>1131</v>
      </c>
      <c r="C278" t="s">
        <v>2131</v>
      </c>
      <c r="D278" t="s">
        <v>3131</v>
      </c>
      <c r="E278" t="s">
        <v>4131</v>
      </c>
      <c r="F278">
        <v>64</v>
      </c>
      <c r="G278" t="s">
        <v>5015</v>
      </c>
      <c r="H278" t="s">
        <v>5022</v>
      </c>
      <c r="I278" t="s">
        <v>5023</v>
      </c>
      <c r="J278">
        <v>58299</v>
      </c>
      <c r="K278">
        <v>41</v>
      </c>
      <c r="L278" s="7">
        <v>45201</v>
      </c>
      <c r="M278" t="s">
        <v>5030</v>
      </c>
      <c r="N278">
        <v>3</v>
      </c>
      <c r="O278">
        <v>2986</v>
      </c>
    </row>
    <row r="279" spans="1:15" x14ac:dyDescent="0.3">
      <c r="A279" t="s">
        <v>164</v>
      </c>
      <c r="B279" t="s">
        <v>1164</v>
      </c>
      <c r="C279" t="s">
        <v>2164</v>
      </c>
      <c r="D279" t="s">
        <v>3164</v>
      </c>
      <c r="E279" t="s">
        <v>4164</v>
      </c>
      <c r="F279">
        <v>20</v>
      </c>
      <c r="G279" t="s">
        <v>5016</v>
      </c>
      <c r="H279" t="s">
        <v>5019</v>
      </c>
      <c r="I279" t="s">
        <v>5026</v>
      </c>
      <c r="J279">
        <v>58562</v>
      </c>
      <c r="K279">
        <v>3</v>
      </c>
      <c r="L279" s="7">
        <v>45152</v>
      </c>
      <c r="M279" t="s">
        <v>5029</v>
      </c>
      <c r="N279">
        <v>4</v>
      </c>
      <c r="O279">
        <v>9915</v>
      </c>
    </row>
    <row r="280" spans="1:15" x14ac:dyDescent="0.3">
      <c r="A280" t="s">
        <v>798</v>
      </c>
      <c r="B280" t="s">
        <v>1798</v>
      </c>
      <c r="C280" t="s">
        <v>2798</v>
      </c>
      <c r="D280" t="s">
        <v>3798</v>
      </c>
      <c r="E280" t="s">
        <v>4798</v>
      </c>
      <c r="F280">
        <v>26</v>
      </c>
      <c r="G280" t="s">
        <v>5017</v>
      </c>
      <c r="H280" t="s">
        <v>5019</v>
      </c>
      <c r="I280" t="s">
        <v>5026</v>
      </c>
      <c r="J280">
        <v>58570</v>
      </c>
      <c r="K280">
        <v>8</v>
      </c>
      <c r="L280" s="7">
        <v>44983</v>
      </c>
      <c r="M280" t="s">
        <v>5029</v>
      </c>
      <c r="N280">
        <v>4</v>
      </c>
      <c r="O280">
        <v>5778</v>
      </c>
    </row>
    <row r="281" spans="1:15" x14ac:dyDescent="0.3">
      <c r="A281" t="s">
        <v>395</v>
      </c>
      <c r="B281" t="s">
        <v>1395</v>
      </c>
      <c r="C281" t="s">
        <v>2395</v>
      </c>
      <c r="D281" t="s">
        <v>3395</v>
      </c>
      <c r="E281" t="s">
        <v>4395</v>
      </c>
      <c r="F281">
        <v>53</v>
      </c>
      <c r="G281" t="s">
        <v>5015</v>
      </c>
      <c r="H281" t="s">
        <v>5021</v>
      </c>
      <c r="I281" t="s">
        <v>5027</v>
      </c>
      <c r="J281">
        <v>58631</v>
      </c>
      <c r="K281">
        <v>61</v>
      </c>
      <c r="L281" s="7">
        <v>45179</v>
      </c>
      <c r="M281" t="s">
        <v>5030</v>
      </c>
      <c r="N281">
        <v>5</v>
      </c>
      <c r="O281">
        <v>5559</v>
      </c>
    </row>
    <row r="282" spans="1:15" x14ac:dyDescent="0.3">
      <c r="A282" t="s">
        <v>547</v>
      </c>
      <c r="B282" t="s">
        <v>1547</v>
      </c>
      <c r="C282" t="s">
        <v>2547</v>
      </c>
      <c r="D282" t="s">
        <v>3547</v>
      </c>
      <c r="E282" t="s">
        <v>4547</v>
      </c>
      <c r="F282">
        <v>53</v>
      </c>
      <c r="G282" t="s">
        <v>5015</v>
      </c>
      <c r="H282" t="s">
        <v>5019</v>
      </c>
      <c r="I282" t="s">
        <v>5027</v>
      </c>
      <c r="J282">
        <v>58643</v>
      </c>
      <c r="K282">
        <v>17</v>
      </c>
      <c r="L282" s="7">
        <v>45144</v>
      </c>
      <c r="M282" t="s">
        <v>5030</v>
      </c>
      <c r="N282">
        <v>8</v>
      </c>
      <c r="O282">
        <v>8937</v>
      </c>
    </row>
    <row r="283" spans="1:15" x14ac:dyDescent="0.3">
      <c r="A283" t="s">
        <v>465</v>
      </c>
      <c r="B283" t="s">
        <v>1465</v>
      </c>
      <c r="C283" t="s">
        <v>2465</v>
      </c>
      <c r="D283" t="s">
        <v>3465</v>
      </c>
      <c r="E283" t="s">
        <v>4465</v>
      </c>
      <c r="F283">
        <v>53</v>
      </c>
      <c r="G283" t="s">
        <v>5015</v>
      </c>
      <c r="H283" t="s">
        <v>5020</v>
      </c>
      <c r="I283" t="s">
        <v>5025</v>
      </c>
      <c r="J283">
        <v>58679</v>
      </c>
      <c r="K283">
        <v>33</v>
      </c>
      <c r="L283" s="7">
        <v>44935</v>
      </c>
      <c r="M283" t="s">
        <v>5029</v>
      </c>
      <c r="N283">
        <v>10</v>
      </c>
      <c r="O283">
        <v>75</v>
      </c>
    </row>
    <row r="284" spans="1:15" x14ac:dyDescent="0.3">
      <c r="A284" t="s">
        <v>53</v>
      </c>
      <c r="B284" t="s">
        <v>1053</v>
      </c>
      <c r="C284" t="s">
        <v>2053</v>
      </c>
      <c r="D284" t="s">
        <v>3053</v>
      </c>
      <c r="E284" t="s">
        <v>4053</v>
      </c>
      <c r="F284">
        <v>56</v>
      </c>
      <c r="G284" t="s">
        <v>5017</v>
      </c>
      <c r="H284" t="s">
        <v>5022</v>
      </c>
      <c r="I284" t="s">
        <v>5025</v>
      </c>
      <c r="J284">
        <v>58690</v>
      </c>
      <c r="K284">
        <v>78</v>
      </c>
      <c r="L284" s="7">
        <v>44938</v>
      </c>
      <c r="M284" t="s">
        <v>5028</v>
      </c>
      <c r="N284">
        <v>5</v>
      </c>
      <c r="O284">
        <v>7614</v>
      </c>
    </row>
    <row r="285" spans="1:15" x14ac:dyDescent="0.3">
      <c r="A285" t="s">
        <v>150</v>
      </c>
      <c r="B285" t="s">
        <v>1150</v>
      </c>
      <c r="C285" t="s">
        <v>2150</v>
      </c>
      <c r="D285" t="s">
        <v>3150</v>
      </c>
      <c r="E285" t="s">
        <v>4150</v>
      </c>
      <c r="F285">
        <v>27</v>
      </c>
      <c r="G285" t="s">
        <v>5016</v>
      </c>
      <c r="H285" t="s">
        <v>5021</v>
      </c>
      <c r="I285" t="s">
        <v>5026</v>
      </c>
      <c r="J285">
        <v>58716</v>
      </c>
      <c r="K285">
        <v>7</v>
      </c>
      <c r="L285" s="7">
        <v>45055</v>
      </c>
      <c r="M285" t="s">
        <v>5028</v>
      </c>
      <c r="N285">
        <v>5</v>
      </c>
      <c r="O285">
        <v>313</v>
      </c>
    </row>
    <row r="286" spans="1:15" x14ac:dyDescent="0.3">
      <c r="A286" t="s">
        <v>347</v>
      </c>
      <c r="B286" t="s">
        <v>1347</v>
      </c>
      <c r="C286" t="s">
        <v>2347</v>
      </c>
      <c r="D286" t="s">
        <v>3347</v>
      </c>
      <c r="E286" t="s">
        <v>4347</v>
      </c>
      <c r="F286">
        <v>57</v>
      </c>
      <c r="G286" t="s">
        <v>5015</v>
      </c>
      <c r="H286" t="s">
        <v>5018</v>
      </c>
      <c r="I286" t="s">
        <v>5023</v>
      </c>
      <c r="J286">
        <v>58794</v>
      </c>
      <c r="K286">
        <v>37</v>
      </c>
      <c r="L286" s="7">
        <v>45200</v>
      </c>
      <c r="M286" t="s">
        <v>5030</v>
      </c>
      <c r="N286">
        <v>3</v>
      </c>
      <c r="O286">
        <v>8213</v>
      </c>
    </row>
    <row r="287" spans="1:15" x14ac:dyDescent="0.3">
      <c r="A287" t="s">
        <v>328</v>
      </c>
      <c r="B287" t="s">
        <v>1328</v>
      </c>
      <c r="C287" t="s">
        <v>2328</v>
      </c>
      <c r="D287" t="s">
        <v>3328</v>
      </c>
      <c r="E287" t="s">
        <v>4328</v>
      </c>
      <c r="F287">
        <v>70</v>
      </c>
      <c r="G287" t="s">
        <v>5017</v>
      </c>
      <c r="H287" t="s">
        <v>5018</v>
      </c>
      <c r="I287" t="s">
        <v>5023</v>
      </c>
      <c r="J287">
        <v>59093</v>
      </c>
      <c r="K287">
        <v>13</v>
      </c>
      <c r="L287" s="7">
        <v>44970</v>
      </c>
      <c r="M287" t="s">
        <v>5030</v>
      </c>
      <c r="N287">
        <v>1</v>
      </c>
      <c r="O287">
        <v>7932</v>
      </c>
    </row>
    <row r="288" spans="1:15" x14ac:dyDescent="0.3">
      <c r="A288" t="s">
        <v>719</v>
      </c>
      <c r="B288" t="s">
        <v>1719</v>
      </c>
      <c r="C288" t="s">
        <v>2719</v>
      </c>
      <c r="D288" t="s">
        <v>3719</v>
      </c>
      <c r="E288" t="s">
        <v>4719</v>
      </c>
      <c r="F288">
        <v>47</v>
      </c>
      <c r="G288" t="s">
        <v>5016</v>
      </c>
      <c r="H288" t="s">
        <v>5021</v>
      </c>
      <c r="I288" t="s">
        <v>5026</v>
      </c>
      <c r="J288">
        <v>59177</v>
      </c>
      <c r="K288">
        <v>88</v>
      </c>
      <c r="L288" s="7">
        <v>45047</v>
      </c>
      <c r="M288" t="s">
        <v>5029</v>
      </c>
      <c r="N288">
        <v>7</v>
      </c>
      <c r="O288">
        <v>2957</v>
      </c>
    </row>
    <row r="289" spans="1:15" x14ac:dyDescent="0.3">
      <c r="A289" t="s">
        <v>930</v>
      </c>
      <c r="B289" t="s">
        <v>1930</v>
      </c>
      <c r="C289" t="s">
        <v>2930</v>
      </c>
      <c r="D289" t="s">
        <v>3930</v>
      </c>
      <c r="E289" t="s">
        <v>4930</v>
      </c>
      <c r="F289">
        <v>25</v>
      </c>
      <c r="G289" t="s">
        <v>5017</v>
      </c>
      <c r="H289" t="s">
        <v>5021</v>
      </c>
      <c r="I289" t="s">
        <v>5025</v>
      </c>
      <c r="J289">
        <v>59215</v>
      </c>
      <c r="K289">
        <v>98</v>
      </c>
      <c r="L289" s="7">
        <v>44986</v>
      </c>
      <c r="M289" t="s">
        <v>5028</v>
      </c>
      <c r="N289">
        <v>2</v>
      </c>
      <c r="O289">
        <v>3063</v>
      </c>
    </row>
    <row r="290" spans="1:15" x14ac:dyDescent="0.3">
      <c r="A290" t="s">
        <v>236</v>
      </c>
      <c r="B290" t="s">
        <v>1236</v>
      </c>
      <c r="C290" t="s">
        <v>2236</v>
      </c>
      <c r="D290" t="s">
        <v>3236</v>
      </c>
      <c r="E290" t="s">
        <v>4236</v>
      </c>
      <c r="F290">
        <v>56</v>
      </c>
      <c r="G290" t="s">
        <v>5015</v>
      </c>
      <c r="H290" t="s">
        <v>5019</v>
      </c>
      <c r="I290" t="s">
        <v>5025</v>
      </c>
      <c r="J290">
        <v>59282</v>
      </c>
      <c r="K290">
        <v>37</v>
      </c>
      <c r="L290" s="7">
        <v>45087</v>
      </c>
      <c r="M290" t="s">
        <v>5030</v>
      </c>
      <c r="N290">
        <v>6</v>
      </c>
      <c r="O290">
        <v>9847</v>
      </c>
    </row>
    <row r="291" spans="1:15" x14ac:dyDescent="0.3">
      <c r="A291" t="s">
        <v>146</v>
      </c>
      <c r="B291" t="s">
        <v>1146</v>
      </c>
      <c r="C291" t="s">
        <v>2146</v>
      </c>
      <c r="D291" t="s">
        <v>3146</v>
      </c>
      <c r="E291" t="s">
        <v>4146</v>
      </c>
      <c r="F291">
        <v>46</v>
      </c>
      <c r="G291" t="s">
        <v>5016</v>
      </c>
      <c r="H291" t="s">
        <v>5020</v>
      </c>
      <c r="I291" t="s">
        <v>5024</v>
      </c>
      <c r="J291">
        <v>59344</v>
      </c>
      <c r="K291">
        <v>80</v>
      </c>
      <c r="L291" s="7">
        <v>44972</v>
      </c>
      <c r="M291" t="s">
        <v>5030</v>
      </c>
      <c r="N291">
        <v>7</v>
      </c>
      <c r="O291">
        <v>2346</v>
      </c>
    </row>
    <row r="292" spans="1:15" x14ac:dyDescent="0.3">
      <c r="A292" t="s">
        <v>924</v>
      </c>
      <c r="B292" t="s">
        <v>1924</v>
      </c>
      <c r="C292" t="s">
        <v>2924</v>
      </c>
      <c r="D292" t="s">
        <v>3924</v>
      </c>
      <c r="E292" t="s">
        <v>4924</v>
      </c>
      <c r="F292">
        <v>24</v>
      </c>
      <c r="G292" t="s">
        <v>5016</v>
      </c>
      <c r="H292" t="s">
        <v>5019</v>
      </c>
      <c r="I292" t="s">
        <v>5026</v>
      </c>
      <c r="J292">
        <v>59447</v>
      </c>
      <c r="K292">
        <v>38</v>
      </c>
      <c r="L292" s="7">
        <v>45211</v>
      </c>
      <c r="M292" t="s">
        <v>5030</v>
      </c>
      <c r="N292">
        <v>9</v>
      </c>
      <c r="O292">
        <v>6161</v>
      </c>
    </row>
    <row r="293" spans="1:15" x14ac:dyDescent="0.3">
      <c r="A293" t="s">
        <v>703</v>
      </c>
      <c r="B293" t="s">
        <v>1703</v>
      </c>
      <c r="C293" t="s">
        <v>2703</v>
      </c>
      <c r="D293" t="s">
        <v>3703</v>
      </c>
      <c r="E293" t="s">
        <v>4703</v>
      </c>
      <c r="F293">
        <v>53</v>
      </c>
      <c r="G293" t="s">
        <v>5016</v>
      </c>
      <c r="H293" t="s">
        <v>5022</v>
      </c>
      <c r="I293" t="s">
        <v>5023</v>
      </c>
      <c r="J293">
        <v>59471</v>
      </c>
      <c r="K293">
        <v>81</v>
      </c>
      <c r="L293" s="7">
        <v>44994</v>
      </c>
      <c r="M293" t="s">
        <v>5030</v>
      </c>
      <c r="N293">
        <v>8</v>
      </c>
      <c r="O293">
        <v>6349</v>
      </c>
    </row>
    <row r="294" spans="1:15" x14ac:dyDescent="0.3">
      <c r="A294" t="s">
        <v>862</v>
      </c>
      <c r="B294" t="s">
        <v>1862</v>
      </c>
      <c r="C294" t="s">
        <v>2862</v>
      </c>
      <c r="D294" t="s">
        <v>3862</v>
      </c>
      <c r="E294" t="s">
        <v>4862</v>
      </c>
      <c r="F294">
        <v>20</v>
      </c>
      <c r="G294" t="s">
        <v>5017</v>
      </c>
      <c r="H294" t="s">
        <v>5022</v>
      </c>
      <c r="I294" t="s">
        <v>5024</v>
      </c>
      <c r="J294">
        <v>59622</v>
      </c>
      <c r="K294">
        <v>44</v>
      </c>
      <c r="L294" s="7">
        <v>45229</v>
      </c>
      <c r="M294" t="s">
        <v>5030</v>
      </c>
      <c r="N294">
        <v>7</v>
      </c>
      <c r="O294">
        <v>4033</v>
      </c>
    </row>
    <row r="295" spans="1:15" x14ac:dyDescent="0.3">
      <c r="A295" t="s">
        <v>995</v>
      </c>
      <c r="B295" t="s">
        <v>1995</v>
      </c>
      <c r="C295" t="s">
        <v>2995</v>
      </c>
      <c r="D295" t="s">
        <v>3995</v>
      </c>
      <c r="E295" t="s">
        <v>4995</v>
      </c>
      <c r="F295">
        <v>64</v>
      </c>
      <c r="G295" t="s">
        <v>5016</v>
      </c>
      <c r="H295" t="s">
        <v>5019</v>
      </c>
      <c r="I295" t="s">
        <v>5027</v>
      </c>
      <c r="J295">
        <v>59665</v>
      </c>
      <c r="K295">
        <v>63</v>
      </c>
      <c r="L295" s="7">
        <v>45027</v>
      </c>
      <c r="M295" t="s">
        <v>5030</v>
      </c>
      <c r="N295">
        <v>8</v>
      </c>
      <c r="O295">
        <v>5673</v>
      </c>
    </row>
    <row r="296" spans="1:15" x14ac:dyDescent="0.3">
      <c r="A296" t="s">
        <v>610</v>
      </c>
      <c r="B296" t="s">
        <v>1610</v>
      </c>
      <c r="C296" t="s">
        <v>2610</v>
      </c>
      <c r="D296" t="s">
        <v>3610</v>
      </c>
      <c r="E296" t="s">
        <v>4610</v>
      </c>
      <c r="F296">
        <v>43</v>
      </c>
      <c r="G296" t="s">
        <v>5015</v>
      </c>
      <c r="H296" t="s">
        <v>5020</v>
      </c>
      <c r="I296" t="s">
        <v>5026</v>
      </c>
      <c r="J296">
        <v>60193</v>
      </c>
      <c r="K296">
        <v>100</v>
      </c>
      <c r="L296" s="7">
        <v>45033</v>
      </c>
      <c r="M296" t="s">
        <v>5029</v>
      </c>
      <c r="N296">
        <v>4</v>
      </c>
      <c r="O296">
        <v>5282</v>
      </c>
    </row>
    <row r="297" spans="1:15" x14ac:dyDescent="0.3">
      <c r="A297" t="s">
        <v>287</v>
      </c>
      <c r="B297" t="s">
        <v>1287</v>
      </c>
      <c r="C297" t="s">
        <v>2287</v>
      </c>
      <c r="D297" t="s">
        <v>3287</v>
      </c>
      <c r="E297" t="s">
        <v>4287</v>
      </c>
      <c r="F297">
        <v>36</v>
      </c>
      <c r="G297" t="s">
        <v>5015</v>
      </c>
      <c r="H297" t="s">
        <v>5019</v>
      </c>
      <c r="I297" t="s">
        <v>5027</v>
      </c>
      <c r="J297">
        <v>60224</v>
      </c>
      <c r="K297">
        <v>2</v>
      </c>
      <c r="L297" s="7">
        <v>45180</v>
      </c>
      <c r="M297" t="s">
        <v>5028</v>
      </c>
      <c r="N297">
        <v>6</v>
      </c>
      <c r="O297">
        <v>4762</v>
      </c>
    </row>
    <row r="298" spans="1:15" x14ac:dyDescent="0.3">
      <c r="A298" t="s">
        <v>706</v>
      </c>
      <c r="B298" t="s">
        <v>1706</v>
      </c>
      <c r="C298" t="s">
        <v>2706</v>
      </c>
      <c r="D298" t="s">
        <v>3706</v>
      </c>
      <c r="E298" t="s">
        <v>4706</v>
      </c>
      <c r="F298">
        <v>37</v>
      </c>
      <c r="G298" t="s">
        <v>5015</v>
      </c>
      <c r="H298" t="s">
        <v>5018</v>
      </c>
      <c r="I298" t="s">
        <v>5026</v>
      </c>
      <c r="J298">
        <v>60456</v>
      </c>
      <c r="K298">
        <v>27</v>
      </c>
      <c r="L298" s="7">
        <v>45077</v>
      </c>
      <c r="M298" t="s">
        <v>5030</v>
      </c>
      <c r="N298">
        <v>9</v>
      </c>
      <c r="O298">
        <v>3013</v>
      </c>
    </row>
    <row r="299" spans="1:15" x14ac:dyDescent="0.3">
      <c r="A299" t="s">
        <v>83</v>
      </c>
      <c r="B299" t="s">
        <v>1083</v>
      </c>
      <c r="C299" t="s">
        <v>2083</v>
      </c>
      <c r="D299" t="s">
        <v>3083</v>
      </c>
      <c r="E299" t="s">
        <v>4083</v>
      </c>
      <c r="F299">
        <v>42</v>
      </c>
      <c r="G299" t="s">
        <v>5017</v>
      </c>
      <c r="H299" t="s">
        <v>5022</v>
      </c>
      <c r="I299" t="s">
        <v>5025</v>
      </c>
      <c r="J299">
        <v>60487</v>
      </c>
      <c r="K299">
        <v>27</v>
      </c>
      <c r="L299" s="7">
        <v>44992</v>
      </c>
      <c r="M299" t="s">
        <v>5029</v>
      </c>
      <c r="N299">
        <v>5</v>
      </c>
      <c r="O299">
        <v>8933</v>
      </c>
    </row>
    <row r="300" spans="1:15" x14ac:dyDescent="0.3">
      <c r="A300" t="s">
        <v>1004</v>
      </c>
      <c r="B300" t="s">
        <v>2004</v>
      </c>
      <c r="C300" t="s">
        <v>3004</v>
      </c>
      <c r="D300" t="s">
        <v>4004</v>
      </c>
      <c r="E300" t="s">
        <v>5004</v>
      </c>
      <c r="F300">
        <v>42</v>
      </c>
      <c r="G300" t="s">
        <v>5015</v>
      </c>
      <c r="H300" t="s">
        <v>5022</v>
      </c>
      <c r="I300" t="s">
        <v>5025</v>
      </c>
      <c r="J300">
        <v>60655</v>
      </c>
      <c r="K300">
        <v>91</v>
      </c>
      <c r="L300" s="7">
        <v>45134</v>
      </c>
      <c r="M300" t="s">
        <v>5030</v>
      </c>
      <c r="N300">
        <v>3</v>
      </c>
      <c r="O300">
        <v>972</v>
      </c>
    </row>
    <row r="301" spans="1:15" x14ac:dyDescent="0.3">
      <c r="A301" t="s">
        <v>377</v>
      </c>
      <c r="B301" t="s">
        <v>1377</v>
      </c>
      <c r="C301" t="s">
        <v>2377</v>
      </c>
      <c r="D301" t="s">
        <v>3377</v>
      </c>
      <c r="E301" t="s">
        <v>4377</v>
      </c>
      <c r="F301">
        <v>29</v>
      </c>
      <c r="G301" t="s">
        <v>5016</v>
      </c>
      <c r="H301" t="s">
        <v>5020</v>
      </c>
      <c r="I301" t="s">
        <v>5026</v>
      </c>
      <c r="J301">
        <v>60990</v>
      </c>
      <c r="K301">
        <v>22</v>
      </c>
      <c r="L301" s="7">
        <v>45009</v>
      </c>
      <c r="M301" t="s">
        <v>5028</v>
      </c>
      <c r="N301">
        <v>5</v>
      </c>
      <c r="O301">
        <v>3429</v>
      </c>
    </row>
    <row r="302" spans="1:15" x14ac:dyDescent="0.3">
      <c r="A302" t="s">
        <v>441</v>
      </c>
      <c r="B302" t="s">
        <v>1441</v>
      </c>
      <c r="C302" t="s">
        <v>2441</v>
      </c>
      <c r="D302" t="s">
        <v>3441</v>
      </c>
      <c r="E302" t="s">
        <v>4441</v>
      </c>
      <c r="F302">
        <v>45</v>
      </c>
      <c r="G302" t="s">
        <v>5015</v>
      </c>
      <c r="H302" t="s">
        <v>5020</v>
      </c>
      <c r="I302" t="s">
        <v>5024</v>
      </c>
      <c r="J302">
        <v>61099</v>
      </c>
      <c r="K302">
        <v>3</v>
      </c>
      <c r="L302" s="7">
        <v>44994</v>
      </c>
      <c r="M302" t="s">
        <v>5030</v>
      </c>
      <c r="N302">
        <v>2</v>
      </c>
      <c r="O302">
        <v>7709</v>
      </c>
    </row>
    <row r="303" spans="1:15" x14ac:dyDescent="0.3">
      <c r="A303" t="s">
        <v>276</v>
      </c>
      <c r="B303" t="s">
        <v>1276</v>
      </c>
      <c r="C303" t="s">
        <v>2276</v>
      </c>
      <c r="D303" t="s">
        <v>3276</v>
      </c>
      <c r="E303" t="s">
        <v>4276</v>
      </c>
      <c r="F303">
        <v>53</v>
      </c>
      <c r="G303" t="s">
        <v>5015</v>
      </c>
      <c r="H303" t="s">
        <v>5021</v>
      </c>
      <c r="I303" t="s">
        <v>5024</v>
      </c>
      <c r="J303">
        <v>61199</v>
      </c>
      <c r="K303">
        <v>24</v>
      </c>
      <c r="L303" s="7">
        <v>45171</v>
      </c>
      <c r="M303" t="s">
        <v>5029</v>
      </c>
      <c r="N303">
        <v>4</v>
      </c>
      <c r="O303">
        <v>7363</v>
      </c>
    </row>
    <row r="304" spans="1:15" x14ac:dyDescent="0.3">
      <c r="A304" t="s">
        <v>149</v>
      </c>
      <c r="B304" t="s">
        <v>1149</v>
      </c>
      <c r="C304" t="s">
        <v>2149</v>
      </c>
      <c r="D304" t="s">
        <v>3149</v>
      </c>
      <c r="E304" t="s">
        <v>4149</v>
      </c>
      <c r="F304">
        <v>20</v>
      </c>
      <c r="G304" t="s">
        <v>5016</v>
      </c>
      <c r="H304" t="s">
        <v>5020</v>
      </c>
      <c r="I304" t="s">
        <v>5023</v>
      </c>
      <c r="J304">
        <v>61328</v>
      </c>
      <c r="K304">
        <v>47</v>
      </c>
      <c r="L304" s="7">
        <v>45057</v>
      </c>
      <c r="M304" t="s">
        <v>5028</v>
      </c>
      <c r="N304">
        <v>6</v>
      </c>
      <c r="O304">
        <v>4200</v>
      </c>
    </row>
    <row r="305" spans="1:15" x14ac:dyDescent="0.3">
      <c r="A305" t="s">
        <v>259</v>
      </c>
      <c r="B305" t="s">
        <v>1259</v>
      </c>
      <c r="C305" t="s">
        <v>2259</v>
      </c>
      <c r="D305" t="s">
        <v>3259</v>
      </c>
      <c r="E305" t="s">
        <v>4259</v>
      </c>
      <c r="F305">
        <v>44</v>
      </c>
      <c r="G305" t="s">
        <v>5016</v>
      </c>
      <c r="H305" t="s">
        <v>5022</v>
      </c>
      <c r="I305" t="s">
        <v>5026</v>
      </c>
      <c r="J305">
        <v>61504</v>
      </c>
      <c r="K305">
        <v>41</v>
      </c>
      <c r="L305" s="7">
        <v>45155</v>
      </c>
      <c r="M305" t="s">
        <v>5029</v>
      </c>
      <c r="N305">
        <v>2</v>
      </c>
      <c r="O305">
        <v>3567</v>
      </c>
    </row>
    <row r="306" spans="1:15" x14ac:dyDescent="0.3">
      <c r="A306" t="s">
        <v>1013</v>
      </c>
      <c r="B306" t="s">
        <v>2013</v>
      </c>
      <c r="C306" t="s">
        <v>3013</v>
      </c>
      <c r="D306" t="s">
        <v>4013</v>
      </c>
      <c r="E306" t="s">
        <v>5013</v>
      </c>
      <c r="F306">
        <v>28</v>
      </c>
      <c r="G306" t="s">
        <v>5015</v>
      </c>
      <c r="H306" t="s">
        <v>5022</v>
      </c>
      <c r="I306" t="s">
        <v>5027</v>
      </c>
      <c r="J306">
        <v>61509</v>
      </c>
      <c r="K306">
        <v>70</v>
      </c>
      <c r="L306" s="7">
        <v>45057</v>
      </c>
      <c r="M306" t="s">
        <v>5028</v>
      </c>
      <c r="N306">
        <v>4</v>
      </c>
      <c r="O306">
        <v>9239</v>
      </c>
    </row>
    <row r="307" spans="1:15" x14ac:dyDescent="0.3">
      <c r="A307" t="s">
        <v>673</v>
      </c>
      <c r="B307" t="s">
        <v>1673</v>
      </c>
      <c r="C307" t="s">
        <v>2673</v>
      </c>
      <c r="D307" t="s">
        <v>3673</v>
      </c>
      <c r="E307" t="s">
        <v>4673</v>
      </c>
      <c r="F307">
        <v>55</v>
      </c>
      <c r="G307" t="s">
        <v>5017</v>
      </c>
      <c r="H307" t="s">
        <v>5019</v>
      </c>
      <c r="I307" t="s">
        <v>5024</v>
      </c>
      <c r="J307">
        <v>61616</v>
      </c>
      <c r="K307">
        <v>7</v>
      </c>
      <c r="L307" s="7">
        <v>45101</v>
      </c>
      <c r="M307" t="s">
        <v>5028</v>
      </c>
      <c r="N307">
        <v>4</v>
      </c>
      <c r="O307">
        <v>7012</v>
      </c>
    </row>
    <row r="308" spans="1:15" x14ac:dyDescent="0.3">
      <c r="A308" t="s">
        <v>957</v>
      </c>
      <c r="B308" t="s">
        <v>1957</v>
      </c>
      <c r="C308" t="s">
        <v>2957</v>
      </c>
      <c r="D308" t="s">
        <v>3957</v>
      </c>
      <c r="E308" t="s">
        <v>4957</v>
      </c>
      <c r="F308">
        <v>18</v>
      </c>
      <c r="G308" t="s">
        <v>5017</v>
      </c>
      <c r="H308" t="s">
        <v>5022</v>
      </c>
      <c r="I308" t="s">
        <v>5025</v>
      </c>
      <c r="J308">
        <v>61637</v>
      </c>
      <c r="K308">
        <v>44</v>
      </c>
      <c r="L308" s="7">
        <v>44967</v>
      </c>
      <c r="M308" t="s">
        <v>5028</v>
      </c>
      <c r="N308">
        <v>8</v>
      </c>
      <c r="O308">
        <v>7265</v>
      </c>
    </row>
    <row r="309" spans="1:15" x14ac:dyDescent="0.3">
      <c r="A309" t="s">
        <v>491</v>
      </c>
      <c r="B309" t="s">
        <v>1491</v>
      </c>
      <c r="C309" t="s">
        <v>2491</v>
      </c>
      <c r="D309" t="s">
        <v>3491</v>
      </c>
      <c r="E309" t="s">
        <v>4491</v>
      </c>
      <c r="F309">
        <v>24</v>
      </c>
      <c r="G309" t="s">
        <v>5016</v>
      </c>
      <c r="H309" t="s">
        <v>5018</v>
      </c>
      <c r="I309" t="s">
        <v>5026</v>
      </c>
      <c r="J309">
        <v>61913</v>
      </c>
      <c r="K309">
        <v>17</v>
      </c>
      <c r="L309" s="7">
        <v>45261</v>
      </c>
      <c r="M309" t="s">
        <v>5030</v>
      </c>
      <c r="N309">
        <v>4</v>
      </c>
      <c r="O309">
        <v>7172</v>
      </c>
    </row>
    <row r="310" spans="1:15" x14ac:dyDescent="0.3">
      <c r="A310" t="s">
        <v>500</v>
      </c>
      <c r="B310" t="s">
        <v>1500</v>
      </c>
      <c r="C310" t="s">
        <v>2500</v>
      </c>
      <c r="D310" t="s">
        <v>3500</v>
      </c>
      <c r="E310" t="s">
        <v>4500</v>
      </c>
      <c r="F310">
        <v>31</v>
      </c>
      <c r="G310" t="s">
        <v>5015</v>
      </c>
      <c r="H310" t="s">
        <v>5021</v>
      </c>
      <c r="I310" t="s">
        <v>5027</v>
      </c>
      <c r="J310">
        <v>61964</v>
      </c>
      <c r="K310">
        <v>89</v>
      </c>
      <c r="L310" s="7">
        <v>45171</v>
      </c>
      <c r="M310" t="s">
        <v>5028</v>
      </c>
      <c r="N310">
        <v>8</v>
      </c>
      <c r="O310">
        <v>3305</v>
      </c>
    </row>
    <row r="311" spans="1:15" x14ac:dyDescent="0.3">
      <c r="A311" t="s">
        <v>79</v>
      </c>
      <c r="B311" t="s">
        <v>1079</v>
      </c>
      <c r="C311" t="s">
        <v>2079</v>
      </c>
      <c r="D311" t="s">
        <v>3079</v>
      </c>
      <c r="E311" t="s">
        <v>4079</v>
      </c>
      <c r="F311">
        <v>29</v>
      </c>
      <c r="G311" t="s">
        <v>5017</v>
      </c>
      <c r="H311" t="s">
        <v>5019</v>
      </c>
      <c r="I311" t="s">
        <v>5025</v>
      </c>
      <c r="J311">
        <v>62475</v>
      </c>
      <c r="K311">
        <v>36</v>
      </c>
      <c r="L311" s="7">
        <v>44940</v>
      </c>
      <c r="M311" t="s">
        <v>5028</v>
      </c>
      <c r="N311">
        <v>8</v>
      </c>
      <c r="O311">
        <v>5139</v>
      </c>
    </row>
    <row r="312" spans="1:15" x14ac:dyDescent="0.3">
      <c r="A312" t="s">
        <v>482</v>
      </c>
      <c r="B312" t="s">
        <v>1482</v>
      </c>
      <c r="C312" t="s">
        <v>2482</v>
      </c>
      <c r="D312" t="s">
        <v>3482</v>
      </c>
      <c r="E312" t="s">
        <v>4482</v>
      </c>
      <c r="F312">
        <v>19</v>
      </c>
      <c r="G312" t="s">
        <v>5017</v>
      </c>
      <c r="H312" t="s">
        <v>5022</v>
      </c>
      <c r="I312" t="s">
        <v>5026</v>
      </c>
      <c r="J312">
        <v>62611</v>
      </c>
      <c r="K312">
        <v>17</v>
      </c>
      <c r="L312" s="7">
        <v>45199</v>
      </c>
      <c r="M312" t="s">
        <v>5029</v>
      </c>
      <c r="N312">
        <v>10</v>
      </c>
      <c r="O312">
        <v>5039</v>
      </c>
    </row>
    <row r="313" spans="1:15" x14ac:dyDescent="0.3">
      <c r="A313" t="s">
        <v>92</v>
      </c>
      <c r="B313" t="s">
        <v>1092</v>
      </c>
      <c r="C313" t="s">
        <v>2092</v>
      </c>
      <c r="D313" t="s">
        <v>3092</v>
      </c>
      <c r="E313" t="s">
        <v>4092</v>
      </c>
      <c r="F313">
        <v>38</v>
      </c>
      <c r="G313" t="s">
        <v>5015</v>
      </c>
      <c r="H313" t="s">
        <v>5022</v>
      </c>
      <c r="I313" t="s">
        <v>5027</v>
      </c>
      <c r="J313">
        <v>62642</v>
      </c>
      <c r="K313">
        <v>46</v>
      </c>
      <c r="L313" s="7">
        <v>45097</v>
      </c>
      <c r="M313" t="s">
        <v>5028</v>
      </c>
      <c r="N313">
        <v>6</v>
      </c>
      <c r="O313">
        <v>498</v>
      </c>
    </row>
    <row r="314" spans="1:15" x14ac:dyDescent="0.3">
      <c r="A314" t="s">
        <v>962</v>
      </c>
      <c r="B314" t="s">
        <v>1962</v>
      </c>
      <c r="C314" t="s">
        <v>2962</v>
      </c>
      <c r="D314" t="s">
        <v>3962</v>
      </c>
      <c r="E314" t="s">
        <v>4962</v>
      </c>
      <c r="F314">
        <v>65</v>
      </c>
      <c r="G314" t="s">
        <v>5017</v>
      </c>
      <c r="H314" t="s">
        <v>5021</v>
      </c>
      <c r="I314" t="s">
        <v>5027</v>
      </c>
      <c r="J314">
        <v>62682</v>
      </c>
      <c r="K314">
        <v>1</v>
      </c>
      <c r="L314" s="7">
        <v>44947</v>
      </c>
      <c r="M314" t="s">
        <v>5030</v>
      </c>
      <c r="N314">
        <v>9</v>
      </c>
      <c r="O314">
        <v>8311</v>
      </c>
    </row>
    <row r="315" spans="1:15" x14ac:dyDescent="0.3">
      <c r="A315" t="s">
        <v>102</v>
      </c>
      <c r="B315" t="s">
        <v>1102</v>
      </c>
      <c r="C315" t="s">
        <v>2102</v>
      </c>
      <c r="D315" t="s">
        <v>3102</v>
      </c>
      <c r="E315" t="s">
        <v>4102</v>
      </c>
      <c r="F315">
        <v>31</v>
      </c>
      <c r="G315" t="s">
        <v>5017</v>
      </c>
      <c r="H315" t="s">
        <v>5020</v>
      </c>
      <c r="I315" t="s">
        <v>5024</v>
      </c>
      <c r="J315">
        <v>62845</v>
      </c>
      <c r="K315">
        <v>21</v>
      </c>
      <c r="L315" s="7">
        <v>45078</v>
      </c>
      <c r="M315" t="s">
        <v>5028</v>
      </c>
      <c r="N315">
        <v>5</v>
      </c>
      <c r="O315">
        <v>2270</v>
      </c>
    </row>
    <row r="316" spans="1:15" x14ac:dyDescent="0.3">
      <c r="A316" t="s">
        <v>44</v>
      </c>
      <c r="B316" t="s">
        <v>1044</v>
      </c>
      <c r="C316" t="s">
        <v>2044</v>
      </c>
      <c r="D316" t="s">
        <v>3044</v>
      </c>
      <c r="E316" t="s">
        <v>4044</v>
      </c>
      <c r="F316">
        <v>56</v>
      </c>
      <c r="G316" t="s">
        <v>5016</v>
      </c>
      <c r="H316" t="s">
        <v>5020</v>
      </c>
      <c r="I316" t="s">
        <v>5025</v>
      </c>
      <c r="J316">
        <v>63016</v>
      </c>
      <c r="K316">
        <v>0</v>
      </c>
      <c r="L316" s="7">
        <v>45106</v>
      </c>
      <c r="M316" t="s">
        <v>5030</v>
      </c>
      <c r="N316">
        <v>7</v>
      </c>
      <c r="O316">
        <v>5003</v>
      </c>
    </row>
    <row r="317" spans="1:15" x14ac:dyDescent="0.3">
      <c r="A317" t="s">
        <v>85</v>
      </c>
      <c r="B317" t="s">
        <v>1085</v>
      </c>
      <c r="C317" t="s">
        <v>2085</v>
      </c>
      <c r="D317" t="s">
        <v>3085</v>
      </c>
      <c r="E317" t="s">
        <v>4085</v>
      </c>
      <c r="F317">
        <v>66</v>
      </c>
      <c r="G317" t="s">
        <v>5015</v>
      </c>
      <c r="H317" t="s">
        <v>5022</v>
      </c>
      <c r="I317" t="s">
        <v>5025</v>
      </c>
      <c r="J317">
        <v>63160</v>
      </c>
      <c r="K317">
        <v>43</v>
      </c>
      <c r="L317" s="7">
        <v>44981</v>
      </c>
      <c r="M317" t="s">
        <v>5030</v>
      </c>
      <c r="N317">
        <v>10</v>
      </c>
      <c r="O317">
        <v>1702</v>
      </c>
    </row>
    <row r="318" spans="1:15" x14ac:dyDescent="0.3">
      <c r="A318" t="s">
        <v>959</v>
      </c>
      <c r="B318" t="s">
        <v>1959</v>
      </c>
      <c r="C318" t="s">
        <v>2959</v>
      </c>
      <c r="D318" t="s">
        <v>3959</v>
      </c>
      <c r="E318" t="s">
        <v>4959</v>
      </c>
      <c r="F318">
        <v>24</v>
      </c>
      <c r="G318" t="s">
        <v>5017</v>
      </c>
      <c r="H318" t="s">
        <v>5019</v>
      </c>
      <c r="I318" t="s">
        <v>5025</v>
      </c>
      <c r="J318">
        <v>63320</v>
      </c>
      <c r="K318">
        <v>4</v>
      </c>
      <c r="L318" s="7">
        <v>45076</v>
      </c>
      <c r="M318" t="s">
        <v>5030</v>
      </c>
      <c r="N318">
        <v>9</v>
      </c>
      <c r="O318">
        <v>610</v>
      </c>
    </row>
    <row r="319" spans="1:15" x14ac:dyDescent="0.3">
      <c r="A319" t="s">
        <v>756</v>
      </c>
      <c r="B319" t="s">
        <v>1756</v>
      </c>
      <c r="C319" t="s">
        <v>2756</v>
      </c>
      <c r="D319" t="s">
        <v>3756</v>
      </c>
      <c r="E319" t="s">
        <v>4756</v>
      </c>
      <c r="F319">
        <v>51</v>
      </c>
      <c r="G319" t="s">
        <v>5017</v>
      </c>
      <c r="H319" t="s">
        <v>5018</v>
      </c>
      <c r="I319" t="s">
        <v>5024</v>
      </c>
      <c r="J319">
        <v>63422</v>
      </c>
      <c r="K319">
        <v>61</v>
      </c>
      <c r="L319" s="7">
        <v>45000</v>
      </c>
      <c r="M319" t="s">
        <v>5028</v>
      </c>
      <c r="N319">
        <v>6</v>
      </c>
      <c r="O319">
        <v>4494</v>
      </c>
    </row>
    <row r="320" spans="1:15" x14ac:dyDescent="0.3">
      <c r="A320" t="s">
        <v>986</v>
      </c>
      <c r="B320" t="s">
        <v>1986</v>
      </c>
      <c r="C320" t="s">
        <v>2986</v>
      </c>
      <c r="D320" t="s">
        <v>3986</v>
      </c>
      <c r="E320" t="s">
        <v>4986</v>
      </c>
      <c r="F320">
        <v>65</v>
      </c>
      <c r="G320" t="s">
        <v>5015</v>
      </c>
      <c r="H320" t="s">
        <v>5021</v>
      </c>
      <c r="I320" t="s">
        <v>5027</v>
      </c>
      <c r="J320">
        <v>63602</v>
      </c>
      <c r="K320">
        <v>31</v>
      </c>
      <c r="L320" s="7">
        <v>45289</v>
      </c>
      <c r="M320" t="s">
        <v>5028</v>
      </c>
      <c r="N320">
        <v>3</v>
      </c>
      <c r="O320">
        <v>5361</v>
      </c>
    </row>
    <row r="321" spans="1:15" x14ac:dyDescent="0.3">
      <c r="A321" t="s">
        <v>737</v>
      </c>
      <c r="B321" t="s">
        <v>1737</v>
      </c>
      <c r="C321" t="s">
        <v>2737</v>
      </c>
      <c r="D321" t="s">
        <v>3737</v>
      </c>
      <c r="E321" t="s">
        <v>4737</v>
      </c>
      <c r="F321">
        <v>58</v>
      </c>
      <c r="G321" t="s">
        <v>5016</v>
      </c>
      <c r="H321" t="s">
        <v>5019</v>
      </c>
      <c r="I321" t="s">
        <v>5024</v>
      </c>
      <c r="J321">
        <v>63774</v>
      </c>
      <c r="K321">
        <v>6</v>
      </c>
      <c r="L321" s="7">
        <v>45242</v>
      </c>
      <c r="M321" t="s">
        <v>5028</v>
      </c>
      <c r="N321">
        <v>2</v>
      </c>
      <c r="O321">
        <v>5074</v>
      </c>
    </row>
    <row r="322" spans="1:15" x14ac:dyDescent="0.3">
      <c r="A322" t="s">
        <v>776</v>
      </c>
      <c r="B322" t="s">
        <v>1776</v>
      </c>
      <c r="C322" t="s">
        <v>2776</v>
      </c>
      <c r="D322" t="s">
        <v>3776</v>
      </c>
      <c r="E322" t="s">
        <v>4776</v>
      </c>
      <c r="F322">
        <v>18</v>
      </c>
      <c r="G322" t="s">
        <v>5016</v>
      </c>
      <c r="H322" t="s">
        <v>5018</v>
      </c>
      <c r="I322" t="s">
        <v>5024</v>
      </c>
      <c r="J322">
        <v>64024</v>
      </c>
      <c r="K322">
        <v>88</v>
      </c>
      <c r="L322" s="7">
        <v>45259</v>
      </c>
      <c r="M322" t="s">
        <v>5030</v>
      </c>
      <c r="N322">
        <v>1</v>
      </c>
      <c r="O322">
        <v>1790</v>
      </c>
    </row>
    <row r="323" spans="1:15" x14ac:dyDescent="0.3">
      <c r="A323" t="s">
        <v>847</v>
      </c>
      <c r="B323" t="s">
        <v>1847</v>
      </c>
      <c r="C323" t="s">
        <v>2847</v>
      </c>
      <c r="D323" t="s">
        <v>3847</v>
      </c>
      <c r="E323" t="s">
        <v>4847</v>
      </c>
      <c r="F323">
        <v>27</v>
      </c>
      <c r="G323" t="s">
        <v>5017</v>
      </c>
      <c r="H323" t="s">
        <v>5021</v>
      </c>
      <c r="I323" t="s">
        <v>5025</v>
      </c>
      <c r="J323">
        <v>64377</v>
      </c>
      <c r="K323">
        <v>13</v>
      </c>
      <c r="L323" s="7">
        <v>44927</v>
      </c>
      <c r="M323" t="s">
        <v>5029</v>
      </c>
      <c r="N323">
        <v>4</v>
      </c>
      <c r="O323">
        <v>3897</v>
      </c>
    </row>
    <row r="324" spans="1:15" x14ac:dyDescent="0.3">
      <c r="A324" t="s">
        <v>486</v>
      </c>
      <c r="B324" t="s">
        <v>1486</v>
      </c>
      <c r="C324" t="s">
        <v>2486</v>
      </c>
      <c r="D324" t="s">
        <v>3486</v>
      </c>
      <c r="E324" t="s">
        <v>4486</v>
      </c>
      <c r="F324">
        <v>53</v>
      </c>
      <c r="G324" t="s">
        <v>5015</v>
      </c>
      <c r="H324" t="s">
        <v>5022</v>
      </c>
      <c r="I324" t="s">
        <v>5027</v>
      </c>
      <c r="J324">
        <v>64410</v>
      </c>
      <c r="K324">
        <v>36</v>
      </c>
      <c r="L324" s="7">
        <v>45165</v>
      </c>
      <c r="M324" t="s">
        <v>5029</v>
      </c>
      <c r="N324">
        <v>6</v>
      </c>
      <c r="O324">
        <v>8524</v>
      </c>
    </row>
    <row r="325" spans="1:15" x14ac:dyDescent="0.3">
      <c r="A325" t="s">
        <v>132</v>
      </c>
      <c r="B325" t="s">
        <v>1132</v>
      </c>
      <c r="C325" t="s">
        <v>2132</v>
      </c>
      <c r="D325" t="s">
        <v>3132</v>
      </c>
      <c r="E325" t="s">
        <v>4132</v>
      </c>
      <c r="F325">
        <v>32</v>
      </c>
      <c r="G325" t="s">
        <v>5017</v>
      </c>
      <c r="H325" t="s">
        <v>5022</v>
      </c>
      <c r="I325" t="s">
        <v>5025</v>
      </c>
      <c r="J325">
        <v>64654</v>
      </c>
      <c r="K325">
        <v>63</v>
      </c>
      <c r="L325" s="7">
        <v>45025</v>
      </c>
      <c r="M325" t="s">
        <v>5030</v>
      </c>
      <c r="N325">
        <v>2</v>
      </c>
      <c r="O325">
        <v>1646</v>
      </c>
    </row>
    <row r="326" spans="1:15" x14ac:dyDescent="0.3">
      <c r="A326" t="s">
        <v>219</v>
      </c>
      <c r="B326" t="s">
        <v>1219</v>
      </c>
      <c r="C326" t="s">
        <v>2219</v>
      </c>
      <c r="D326" t="s">
        <v>3219</v>
      </c>
      <c r="E326" t="s">
        <v>4219</v>
      </c>
      <c r="F326">
        <v>50</v>
      </c>
      <c r="G326" t="s">
        <v>5016</v>
      </c>
      <c r="H326" t="s">
        <v>5018</v>
      </c>
      <c r="I326" t="s">
        <v>5024</v>
      </c>
      <c r="J326">
        <v>64717</v>
      </c>
      <c r="K326">
        <v>46</v>
      </c>
      <c r="L326" s="7">
        <v>45276</v>
      </c>
      <c r="M326" t="s">
        <v>5029</v>
      </c>
      <c r="N326">
        <v>8</v>
      </c>
      <c r="O326">
        <v>8121</v>
      </c>
    </row>
    <row r="327" spans="1:15" x14ac:dyDescent="0.3">
      <c r="A327" t="s">
        <v>449</v>
      </c>
      <c r="B327" t="s">
        <v>1449</v>
      </c>
      <c r="C327" t="s">
        <v>2449</v>
      </c>
      <c r="D327" t="s">
        <v>3449</v>
      </c>
      <c r="E327" t="s">
        <v>4449</v>
      </c>
      <c r="F327">
        <v>37</v>
      </c>
      <c r="G327" t="s">
        <v>5015</v>
      </c>
      <c r="H327" t="s">
        <v>5021</v>
      </c>
      <c r="I327" t="s">
        <v>5025</v>
      </c>
      <c r="J327">
        <v>65490</v>
      </c>
      <c r="K327">
        <v>47</v>
      </c>
      <c r="L327" s="7">
        <v>45110</v>
      </c>
      <c r="M327" t="s">
        <v>5028</v>
      </c>
      <c r="N327">
        <v>1</v>
      </c>
      <c r="O327">
        <v>1713</v>
      </c>
    </row>
    <row r="328" spans="1:15" x14ac:dyDescent="0.3">
      <c r="A328" t="s">
        <v>585</v>
      </c>
      <c r="B328" t="s">
        <v>1585</v>
      </c>
      <c r="C328" t="s">
        <v>2585</v>
      </c>
      <c r="D328" t="s">
        <v>3585</v>
      </c>
      <c r="E328" t="s">
        <v>4585</v>
      </c>
      <c r="F328">
        <v>40</v>
      </c>
      <c r="G328" t="s">
        <v>5017</v>
      </c>
      <c r="H328" t="s">
        <v>5020</v>
      </c>
      <c r="I328" t="s">
        <v>5023</v>
      </c>
      <c r="J328">
        <v>65529</v>
      </c>
      <c r="K328">
        <v>34</v>
      </c>
      <c r="L328" s="7">
        <v>45031</v>
      </c>
      <c r="M328" t="s">
        <v>5028</v>
      </c>
      <c r="N328">
        <v>5</v>
      </c>
      <c r="O328">
        <v>9870</v>
      </c>
    </row>
    <row r="329" spans="1:15" x14ac:dyDescent="0.3">
      <c r="A329" t="s">
        <v>414</v>
      </c>
      <c r="B329" t="s">
        <v>1414</v>
      </c>
      <c r="C329" t="s">
        <v>2414</v>
      </c>
      <c r="D329" t="s">
        <v>3414</v>
      </c>
      <c r="E329" t="s">
        <v>4414</v>
      </c>
      <c r="F329">
        <v>34</v>
      </c>
      <c r="G329" t="s">
        <v>5016</v>
      </c>
      <c r="H329" t="s">
        <v>5022</v>
      </c>
      <c r="I329" t="s">
        <v>5027</v>
      </c>
      <c r="J329">
        <v>65634</v>
      </c>
      <c r="K329">
        <v>36</v>
      </c>
      <c r="L329" s="7">
        <v>45011</v>
      </c>
      <c r="M329" t="s">
        <v>5030</v>
      </c>
      <c r="N329">
        <v>5</v>
      </c>
      <c r="O329">
        <v>1356</v>
      </c>
    </row>
    <row r="330" spans="1:15" x14ac:dyDescent="0.3">
      <c r="A330" t="s">
        <v>783</v>
      </c>
      <c r="B330" t="s">
        <v>1783</v>
      </c>
      <c r="C330" t="s">
        <v>2783</v>
      </c>
      <c r="D330" t="s">
        <v>3783</v>
      </c>
      <c r="E330" t="s">
        <v>4783</v>
      </c>
      <c r="F330">
        <v>55</v>
      </c>
      <c r="G330" t="s">
        <v>5015</v>
      </c>
      <c r="H330" t="s">
        <v>5018</v>
      </c>
      <c r="I330" t="s">
        <v>5023</v>
      </c>
      <c r="J330">
        <v>65634</v>
      </c>
      <c r="K330">
        <v>98</v>
      </c>
      <c r="L330" s="7">
        <v>45244</v>
      </c>
      <c r="M330" t="s">
        <v>5030</v>
      </c>
      <c r="N330">
        <v>5</v>
      </c>
      <c r="O330">
        <v>5752</v>
      </c>
    </row>
    <row r="331" spans="1:15" x14ac:dyDescent="0.3">
      <c r="A331" t="s">
        <v>557</v>
      </c>
      <c r="B331" t="s">
        <v>1557</v>
      </c>
      <c r="C331" t="s">
        <v>2557</v>
      </c>
      <c r="D331" t="s">
        <v>3557</v>
      </c>
      <c r="E331" t="s">
        <v>4557</v>
      </c>
      <c r="F331">
        <v>27</v>
      </c>
      <c r="G331" t="s">
        <v>5016</v>
      </c>
      <c r="H331" t="s">
        <v>5020</v>
      </c>
      <c r="I331" t="s">
        <v>5023</v>
      </c>
      <c r="J331">
        <v>65881</v>
      </c>
      <c r="K331">
        <v>21</v>
      </c>
      <c r="L331" s="7">
        <v>45270</v>
      </c>
      <c r="M331" t="s">
        <v>5028</v>
      </c>
      <c r="N331">
        <v>7</v>
      </c>
      <c r="O331">
        <v>1024</v>
      </c>
    </row>
    <row r="332" spans="1:15" x14ac:dyDescent="0.3">
      <c r="A332" t="s">
        <v>850</v>
      </c>
      <c r="B332" t="s">
        <v>1850</v>
      </c>
      <c r="C332" t="s">
        <v>2850</v>
      </c>
      <c r="D332" t="s">
        <v>3850</v>
      </c>
      <c r="E332" t="s">
        <v>4850</v>
      </c>
      <c r="F332">
        <v>48</v>
      </c>
      <c r="G332" t="s">
        <v>5016</v>
      </c>
      <c r="H332" t="s">
        <v>5019</v>
      </c>
      <c r="I332" t="s">
        <v>5026</v>
      </c>
      <c r="J332">
        <v>65913</v>
      </c>
      <c r="K332">
        <v>58</v>
      </c>
      <c r="L332" s="7">
        <v>45167</v>
      </c>
      <c r="M332" t="s">
        <v>5028</v>
      </c>
      <c r="N332">
        <v>3</v>
      </c>
      <c r="O332">
        <v>9135</v>
      </c>
    </row>
    <row r="333" spans="1:15" x14ac:dyDescent="0.3">
      <c r="A333" t="s">
        <v>161</v>
      </c>
      <c r="B333" t="s">
        <v>1161</v>
      </c>
      <c r="C333" t="s">
        <v>2161</v>
      </c>
      <c r="D333" t="s">
        <v>3161</v>
      </c>
      <c r="E333" t="s">
        <v>4161</v>
      </c>
      <c r="F333">
        <v>61</v>
      </c>
      <c r="G333" t="s">
        <v>5017</v>
      </c>
      <c r="H333" t="s">
        <v>5020</v>
      </c>
      <c r="I333" t="s">
        <v>5023</v>
      </c>
      <c r="J333">
        <v>65980</v>
      </c>
      <c r="K333">
        <v>38</v>
      </c>
      <c r="L333" s="7">
        <v>45131</v>
      </c>
      <c r="M333" t="s">
        <v>5029</v>
      </c>
      <c r="N333">
        <v>7</v>
      </c>
      <c r="O333">
        <v>2931</v>
      </c>
    </row>
    <row r="334" spans="1:15" x14ac:dyDescent="0.3">
      <c r="A334" t="s">
        <v>46</v>
      </c>
      <c r="B334" t="s">
        <v>1046</v>
      </c>
      <c r="C334" t="s">
        <v>2046</v>
      </c>
      <c r="D334" t="s">
        <v>3046</v>
      </c>
      <c r="E334" t="s">
        <v>4046</v>
      </c>
      <c r="F334">
        <v>55</v>
      </c>
      <c r="G334" t="s">
        <v>5017</v>
      </c>
      <c r="H334" t="s">
        <v>5019</v>
      </c>
      <c r="I334" t="s">
        <v>5024</v>
      </c>
      <c r="J334">
        <v>65993</v>
      </c>
      <c r="K334">
        <v>73</v>
      </c>
      <c r="L334" s="7">
        <v>45056</v>
      </c>
      <c r="M334" t="s">
        <v>5028</v>
      </c>
      <c r="N334">
        <v>9</v>
      </c>
      <c r="O334">
        <v>1474</v>
      </c>
    </row>
    <row r="335" spans="1:15" x14ac:dyDescent="0.3">
      <c r="A335" t="s">
        <v>519</v>
      </c>
      <c r="B335" t="s">
        <v>1519</v>
      </c>
      <c r="C335" t="s">
        <v>2519</v>
      </c>
      <c r="D335" t="s">
        <v>3519</v>
      </c>
      <c r="E335" t="s">
        <v>4519</v>
      </c>
      <c r="F335">
        <v>50</v>
      </c>
      <c r="G335" t="s">
        <v>5017</v>
      </c>
      <c r="H335" t="s">
        <v>5022</v>
      </c>
      <c r="I335" t="s">
        <v>5023</v>
      </c>
      <c r="J335">
        <v>66025</v>
      </c>
      <c r="K335">
        <v>15</v>
      </c>
      <c r="L335" s="7">
        <v>45171</v>
      </c>
      <c r="M335" t="s">
        <v>5030</v>
      </c>
      <c r="N335">
        <v>9</v>
      </c>
      <c r="O335">
        <v>1540</v>
      </c>
    </row>
    <row r="336" spans="1:15" x14ac:dyDescent="0.3">
      <c r="A336" t="s">
        <v>281</v>
      </c>
      <c r="B336" t="s">
        <v>1281</v>
      </c>
      <c r="C336" t="s">
        <v>2281</v>
      </c>
      <c r="D336" t="s">
        <v>3281</v>
      </c>
      <c r="E336" t="s">
        <v>4281</v>
      </c>
      <c r="F336">
        <v>44</v>
      </c>
      <c r="G336" t="s">
        <v>5017</v>
      </c>
      <c r="H336" t="s">
        <v>5018</v>
      </c>
      <c r="I336" t="s">
        <v>5027</v>
      </c>
      <c r="J336">
        <v>66130</v>
      </c>
      <c r="K336">
        <v>50</v>
      </c>
      <c r="L336" s="7">
        <v>44967</v>
      </c>
      <c r="M336" t="s">
        <v>5030</v>
      </c>
      <c r="N336">
        <v>3</v>
      </c>
      <c r="O336">
        <v>7505</v>
      </c>
    </row>
    <row r="337" spans="1:15" x14ac:dyDescent="0.3">
      <c r="A337" t="s">
        <v>97</v>
      </c>
      <c r="B337" t="s">
        <v>1097</v>
      </c>
      <c r="C337" t="s">
        <v>2097</v>
      </c>
      <c r="D337" t="s">
        <v>3097</v>
      </c>
      <c r="E337" t="s">
        <v>4097</v>
      </c>
      <c r="F337">
        <v>50</v>
      </c>
      <c r="G337" t="s">
        <v>5017</v>
      </c>
      <c r="H337" t="s">
        <v>5020</v>
      </c>
      <c r="I337" t="s">
        <v>5023</v>
      </c>
      <c r="J337">
        <v>66231</v>
      </c>
      <c r="K337">
        <v>63</v>
      </c>
      <c r="L337" s="7">
        <v>44988</v>
      </c>
      <c r="M337" t="s">
        <v>5030</v>
      </c>
      <c r="N337">
        <v>7</v>
      </c>
      <c r="O337">
        <v>2136</v>
      </c>
    </row>
    <row r="338" spans="1:15" x14ac:dyDescent="0.3">
      <c r="A338" t="s">
        <v>195</v>
      </c>
      <c r="B338" t="s">
        <v>1195</v>
      </c>
      <c r="C338" t="s">
        <v>2195</v>
      </c>
      <c r="D338" t="s">
        <v>3195</v>
      </c>
      <c r="E338" t="s">
        <v>4195</v>
      </c>
      <c r="F338">
        <v>22</v>
      </c>
      <c r="G338" t="s">
        <v>5016</v>
      </c>
      <c r="H338" t="s">
        <v>5018</v>
      </c>
      <c r="I338" t="s">
        <v>5026</v>
      </c>
      <c r="J338">
        <v>66282</v>
      </c>
      <c r="K338">
        <v>93</v>
      </c>
      <c r="L338" s="7">
        <v>44998</v>
      </c>
      <c r="M338" t="s">
        <v>5030</v>
      </c>
      <c r="N338">
        <v>7</v>
      </c>
      <c r="O338">
        <v>5120</v>
      </c>
    </row>
    <row r="339" spans="1:15" x14ac:dyDescent="0.3">
      <c r="A339" t="s">
        <v>100</v>
      </c>
      <c r="B339" t="s">
        <v>1100</v>
      </c>
      <c r="C339" t="s">
        <v>2100</v>
      </c>
      <c r="D339" t="s">
        <v>3100</v>
      </c>
      <c r="E339" t="s">
        <v>4100</v>
      </c>
      <c r="F339">
        <v>35</v>
      </c>
      <c r="G339" t="s">
        <v>5015</v>
      </c>
      <c r="H339" t="s">
        <v>5021</v>
      </c>
      <c r="I339" t="s">
        <v>5027</v>
      </c>
      <c r="J339">
        <v>66347</v>
      </c>
      <c r="K339">
        <v>88</v>
      </c>
      <c r="L339" s="7">
        <v>45027</v>
      </c>
      <c r="M339" t="s">
        <v>5030</v>
      </c>
      <c r="N339">
        <v>8</v>
      </c>
      <c r="O339">
        <v>7849</v>
      </c>
    </row>
    <row r="340" spans="1:15" x14ac:dyDescent="0.3">
      <c r="A340" t="s">
        <v>938</v>
      </c>
      <c r="B340" t="s">
        <v>1938</v>
      </c>
      <c r="C340" t="s">
        <v>2938</v>
      </c>
      <c r="D340" t="s">
        <v>3938</v>
      </c>
      <c r="E340" t="s">
        <v>4938</v>
      </c>
      <c r="F340">
        <v>19</v>
      </c>
      <c r="G340" t="s">
        <v>5016</v>
      </c>
      <c r="H340" t="s">
        <v>5019</v>
      </c>
      <c r="I340" t="s">
        <v>5026</v>
      </c>
      <c r="J340">
        <v>66365</v>
      </c>
      <c r="K340">
        <v>92</v>
      </c>
      <c r="L340" s="7">
        <v>45048</v>
      </c>
      <c r="M340" t="s">
        <v>5029</v>
      </c>
      <c r="N340">
        <v>6</v>
      </c>
      <c r="O340">
        <v>2374</v>
      </c>
    </row>
    <row r="341" spans="1:15" x14ac:dyDescent="0.3">
      <c r="A341" t="s">
        <v>987</v>
      </c>
      <c r="B341" t="s">
        <v>1987</v>
      </c>
      <c r="C341" t="s">
        <v>2987</v>
      </c>
      <c r="D341" t="s">
        <v>3987</v>
      </c>
      <c r="E341" t="s">
        <v>4987</v>
      </c>
      <c r="F341">
        <v>24</v>
      </c>
      <c r="G341" t="s">
        <v>5015</v>
      </c>
      <c r="H341" t="s">
        <v>5019</v>
      </c>
      <c r="I341" t="s">
        <v>5027</v>
      </c>
      <c r="J341">
        <v>66390</v>
      </c>
      <c r="K341">
        <v>55</v>
      </c>
      <c r="L341" s="7">
        <v>45107</v>
      </c>
      <c r="M341" t="s">
        <v>5030</v>
      </c>
      <c r="N341">
        <v>6</v>
      </c>
      <c r="O341">
        <v>6704</v>
      </c>
    </row>
    <row r="342" spans="1:15" x14ac:dyDescent="0.3">
      <c r="A342" t="s">
        <v>893</v>
      </c>
      <c r="B342" t="s">
        <v>1893</v>
      </c>
      <c r="C342" t="s">
        <v>2893</v>
      </c>
      <c r="D342" t="s">
        <v>3893</v>
      </c>
      <c r="E342" t="s">
        <v>4893</v>
      </c>
      <c r="F342">
        <v>65</v>
      </c>
      <c r="G342" t="s">
        <v>5017</v>
      </c>
      <c r="H342" t="s">
        <v>5019</v>
      </c>
      <c r="I342" t="s">
        <v>5024</v>
      </c>
      <c r="J342">
        <v>66585</v>
      </c>
      <c r="K342">
        <v>46</v>
      </c>
      <c r="L342" s="7">
        <v>45171</v>
      </c>
      <c r="M342" t="s">
        <v>5029</v>
      </c>
      <c r="N342">
        <v>7</v>
      </c>
      <c r="O342">
        <v>3309</v>
      </c>
    </row>
    <row r="343" spans="1:15" x14ac:dyDescent="0.3">
      <c r="A343" t="s">
        <v>821</v>
      </c>
      <c r="B343" t="s">
        <v>1821</v>
      </c>
      <c r="C343" t="s">
        <v>2821</v>
      </c>
      <c r="D343" t="s">
        <v>3821</v>
      </c>
      <c r="E343" t="s">
        <v>4821</v>
      </c>
      <c r="F343">
        <v>37</v>
      </c>
      <c r="G343" t="s">
        <v>5015</v>
      </c>
      <c r="H343" t="s">
        <v>5021</v>
      </c>
      <c r="I343" t="s">
        <v>5023</v>
      </c>
      <c r="J343">
        <v>66668</v>
      </c>
      <c r="K343">
        <v>28</v>
      </c>
      <c r="L343" s="7">
        <v>45048</v>
      </c>
      <c r="M343" t="s">
        <v>5028</v>
      </c>
      <c r="N343">
        <v>1</v>
      </c>
      <c r="O343">
        <v>2989</v>
      </c>
    </row>
    <row r="344" spans="1:15" x14ac:dyDescent="0.3">
      <c r="A344" t="s">
        <v>260</v>
      </c>
      <c r="B344" t="s">
        <v>1260</v>
      </c>
      <c r="C344" t="s">
        <v>2260</v>
      </c>
      <c r="D344" t="s">
        <v>3260</v>
      </c>
      <c r="E344" t="s">
        <v>4260</v>
      </c>
      <c r="F344">
        <v>65</v>
      </c>
      <c r="G344" t="s">
        <v>5015</v>
      </c>
      <c r="H344" t="s">
        <v>5021</v>
      </c>
      <c r="I344" t="s">
        <v>5025</v>
      </c>
      <c r="J344">
        <v>66895</v>
      </c>
      <c r="K344">
        <v>42</v>
      </c>
      <c r="L344" s="7">
        <v>45282</v>
      </c>
      <c r="M344" t="s">
        <v>5028</v>
      </c>
      <c r="N344">
        <v>1</v>
      </c>
      <c r="O344">
        <v>102</v>
      </c>
    </row>
    <row r="345" spans="1:15" x14ac:dyDescent="0.3">
      <c r="A345" t="s">
        <v>529</v>
      </c>
      <c r="B345" t="s">
        <v>1529</v>
      </c>
      <c r="C345" t="s">
        <v>2529</v>
      </c>
      <c r="D345" t="s">
        <v>3529</v>
      </c>
      <c r="E345" t="s">
        <v>4529</v>
      </c>
      <c r="F345">
        <v>60</v>
      </c>
      <c r="G345" t="s">
        <v>5017</v>
      </c>
      <c r="H345" t="s">
        <v>5018</v>
      </c>
      <c r="I345" t="s">
        <v>5023</v>
      </c>
      <c r="J345">
        <v>66908</v>
      </c>
      <c r="K345">
        <v>70</v>
      </c>
      <c r="L345" s="7">
        <v>45149</v>
      </c>
      <c r="M345" t="s">
        <v>5028</v>
      </c>
      <c r="N345">
        <v>9</v>
      </c>
      <c r="O345">
        <v>7231</v>
      </c>
    </row>
    <row r="346" spans="1:15" x14ac:dyDescent="0.3">
      <c r="A346" t="s">
        <v>513</v>
      </c>
      <c r="B346" t="s">
        <v>1513</v>
      </c>
      <c r="C346" t="s">
        <v>2513</v>
      </c>
      <c r="D346" t="s">
        <v>3513</v>
      </c>
      <c r="E346" t="s">
        <v>4513</v>
      </c>
      <c r="F346">
        <v>21</v>
      </c>
      <c r="G346" t="s">
        <v>5016</v>
      </c>
      <c r="H346" t="s">
        <v>5021</v>
      </c>
      <c r="I346" t="s">
        <v>5024</v>
      </c>
      <c r="J346">
        <v>67217</v>
      </c>
      <c r="K346">
        <v>96</v>
      </c>
      <c r="L346" s="7">
        <v>45042</v>
      </c>
      <c r="M346" t="s">
        <v>5030</v>
      </c>
      <c r="N346">
        <v>1</v>
      </c>
      <c r="O346">
        <v>6551</v>
      </c>
    </row>
    <row r="347" spans="1:15" x14ac:dyDescent="0.3">
      <c r="A347" t="s">
        <v>163</v>
      </c>
      <c r="B347" t="s">
        <v>1163</v>
      </c>
      <c r="C347" t="s">
        <v>2163</v>
      </c>
      <c r="D347" t="s">
        <v>3163</v>
      </c>
      <c r="E347" t="s">
        <v>4163</v>
      </c>
      <c r="F347">
        <v>35</v>
      </c>
      <c r="G347" t="s">
        <v>5017</v>
      </c>
      <c r="H347" t="s">
        <v>5018</v>
      </c>
      <c r="I347" t="s">
        <v>5025</v>
      </c>
      <c r="J347">
        <v>67247</v>
      </c>
      <c r="K347">
        <v>50</v>
      </c>
      <c r="L347" s="7">
        <v>45113</v>
      </c>
      <c r="M347" t="s">
        <v>5030</v>
      </c>
      <c r="N347">
        <v>4</v>
      </c>
      <c r="O347">
        <v>8699</v>
      </c>
    </row>
    <row r="348" spans="1:15" x14ac:dyDescent="0.3">
      <c r="A348" t="s">
        <v>790</v>
      </c>
      <c r="B348" t="s">
        <v>1790</v>
      </c>
      <c r="C348" t="s">
        <v>2790</v>
      </c>
      <c r="D348" t="s">
        <v>3790</v>
      </c>
      <c r="E348" t="s">
        <v>4790</v>
      </c>
      <c r="F348">
        <v>44</v>
      </c>
      <c r="G348" t="s">
        <v>5016</v>
      </c>
      <c r="H348" t="s">
        <v>5019</v>
      </c>
      <c r="I348" t="s">
        <v>5024</v>
      </c>
      <c r="J348">
        <v>67702</v>
      </c>
      <c r="K348">
        <v>56</v>
      </c>
      <c r="L348" s="7">
        <v>45199</v>
      </c>
      <c r="M348" t="s">
        <v>5028</v>
      </c>
      <c r="N348">
        <v>9</v>
      </c>
      <c r="O348">
        <v>3538</v>
      </c>
    </row>
    <row r="349" spans="1:15" x14ac:dyDescent="0.3">
      <c r="A349" t="s">
        <v>389</v>
      </c>
      <c r="B349" t="s">
        <v>1389</v>
      </c>
      <c r="C349" t="s">
        <v>2389</v>
      </c>
      <c r="D349" t="s">
        <v>3389</v>
      </c>
      <c r="E349" t="s">
        <v>4389</v>
      </c>
      <c r="F349">
        <v>54</v>
      </c>
      <c r="G349" t="s">
        <v>5017</v>
      </c>
      <c r="H349" t="s">
        <v>5018</v>
      </c>
      <c r="I349" t="s">
        <v>5025</v>
      </c>
      <c r="J349">
        <v>68156</v>
      </c>
      <c r="K349">
        <v>99</v>
      </c>
      <c r="L349" s="7">
        <v>45182</v>
      </c>
      <c r="M349" t="s">
        <v>5029</v>
      </c>
      <c r="N349">
        <v>4</v>
      </c>
      <c r="O349">
        <v>9647</v>
      </c>
    </row>
    <row r="350" spans="1:15" x14ac:dyDescent="0.3">
      <c r="A350" t="s">
        <v>781</v>
      </c>
      <c r="B350" t="s">
        <v>1781</v>
      </c>
      <c r="C350" t="s">
        <v>2781</v>
      </c>
      <c r="D350" t="s">
        <v>3781</v>
      </c>
      <c r="E350" t="s">
        <v>4781</v>
      </c>
      <c r="F350">
        <v>58</v>
      </c>
      <c r="G350" t="s">
        <v>5016</v>
      </c>
      <c r="H350" t="s">
        <v>5018</v>
      </c>
      <c r="I350" t="s">
        <v>5024</v>
      </c>
      <c r="J350">
        <v>68159</v>
      </c>
      <c r="K350">
        <v>42</v>
      </c>
      <c r="L350" s="7">
        <v>44963</v>
      </c>
      <c r="M350" t="s">
        <v>5028</v>
      </c>
      <c r="N350">
        <v>10</v>
      </c>
      <c r="O350">
        <v>1905</v>
      </c>
    </row>
    <row r="351" spans="1:15" x14ac:dyDescent="0.3">
      <c r="A351" t="s">
        <v>789</v>
      </c>
      <c r="B351" t="s">
        <v>1789</v>
      </c>
      <c r="C351" t="s">
        <v>2789</v>
      </c>
      <c r="D351" t="s">
        <v>3789</v>
      </c>
      <c r="E351" t="s">
        <v>4789</v>
      </c>
      <c r="F351">
        <v>22</v>
      </c>
      <c r="G351" t="s">
        <v>5015</v>
      </c>
      <c r="H351" t="s">
        <v>5018</v>
      </c>
      <c r="I351" t="s">
        <v>5023</v>
      </c>
      <c r="J351">
        <v>68234</v>
      </c>
      <c r="K351">
        <v>19</v>
      </c>
      <c r="L351" s="7">
        <v>45039</v>
      </c>
      <c r="M351" t="s">
        <v>5028</v>
      </c>
      <c r="N351">
        <v>1</v>
      </c>
      <c r="O351">
        <v>8665</v>
      </c>
    </row>
    <row r="352" spans="1:15" x14ac:dyDescent="0.3">
      <c r="A352" t="s">
        <v>991</v>
      </c>
      <c r="B352" t="s">
        <v>1991</v>
      </c>
      <c r="C352" t="s">
        <v>2991</v>
      </c>
      <c r="D352" t="s">
        <v>3991</v>
      </c>
      <c r="E352" t="s">
        <v>4991</v>
      </c>
      <c r="F352">
        <v>22</v>
      </c>
      <c r="G352" t="s">
        <v>5015</v>
      </c>
      <c r="H352" t="s">
        <v>5022</v>
      </c>
      <c r="I352" t="s">
        <v>5023</v>
      </c>
      <c r="J352">
        <v>68651</v>
      </c>
      <c r="K352">
        <v>52</v>
      </c>
      <c r="L352" s="7">
        <v>45267</v>
      </c>
      <c r="M352" t="s">
        <v>5030</v>
      </c>
      <c r="N352">
        <v>10</v>
      </c>
      <c r="O352">
        <v>5864</v>
      </c>
    </row>
    <row r="353" spans="1:15" x14ac:dyDescent="0.3">
      <c r="A353" t="s">
        <v>273</v>
      </c>
      <c r="B353" t="s">
        <v>1273</v>
      </c>
      <c r="C353" t="s">
        <v>2273</v>
      </c>
      <c r="D353" t="s">
        <v>3273</v>
      </c>
      <c r="E353" t="s">
        <v>4273</v>
      </c>
      <c r="F353">
        <v>25</v>
      </c>
      <c r="G353" t="s">
        <v>5016</v>
      </c>
      <c r="H353" t="s">
        <v>5019</v>
      </c>
      <c r="I353" t="s">
        <v>5023</v>
      </c>
      <c r="J353">
        <v>68694</v>
      </c>
      <c r="K353">
        <v>55</v>
      </c>
      <c r="L353" s="7">
        <v>45083</v>
      </c>
      <c r="M353" t="s">
        <v>5028</v>
      </c>
      <c r="N353">
        <v>2</v>
      </c>
      <c r="O353">
        <v>6329</v>
      </c>
    </row>
    <row r="354" spans="1:15" x14ac:dyDescent="0.3">
      <c r="A354" t="s">
        <v>245</v>
      </c>
      <c r="B354" t="s">
        <v>1245</v>
      </c>
      <c r="C354" t="s">
        <v>2245</v>
      </c>
      <c r="D354" t="s">
        <v>3245</v>
      </c>
      <c r="E354" t="s">
        <v>4245</v>
      </c>
      <c r="F354">
        <v>21</v>
      </c>
      <c r="G354" t="s">
        <v>5016</v>
      </c>
      <c r="H354" t="s">
        <v>5018</v>
      </c>
      <c r="I354" t="s">
        <v>5024</v>
      </c>
      <c r="J354">
        <v>68767</v>
      </c>
      <c r="K354">
        <v>100</v>
      </c>
      <c r="L354" s="7">
        <v>45172</v>
      </c>
      <c r="M354" t="s">
        <v>5028</v>
      </c>
      <c r="N354">
        <v>2</v>
      </c>
      <c r="O354">
        <v>2485</v>
      </c>
    </row>
    <row r="355" spans="1:15" x14ac:dyDescent="0.3">
      <c r="A355" t="s">
        <v>564</v>
      </c>
      <c r="B355" t="s">
        <v>1564</v>
      </c>
      <c r="C355" t="s">
        <v>2564</v>
      </c>
      <c r="D355" t="s">
        <v>3564</v>
      </c>
      <c r="E355" t="s">
        <v>4564</v>
      </c>
      <c r="F355">
        <v>19</v>
      </c>
      <c r="G355" t="s">
        <v>5016</v>
      </c>
      <c r="H355" t="s">
        <v>5019</v>
      </c>
      <c r="I355" t="s">
        <v>5026</v>
      </c>
      <c r="J355">
        <v>68781</v>
      </c>
      <c r="K355">
        <v>35</v>
      </c>
      <c r="L355" s="7">
        <v>45158</v>
      </c>
      <c r="M355" t="s">
        <v>5030</v>
      </c>
      <c r="N355">
        <v>6</v>
      </c>
      <c r="O355">
        <v>645</v>
      </c>
    </row>
    <row r="356" spans="1:15" x14ac:dyDescent="0.3">
      <c r="A356" t="s">
        <v>583</v>
      </c>
      <c r="B356" t="s">
        <v>1583</v>
      </c>
      <c r="C356" t="s">
        <v>2583</v>
      </c>
      <c r="D356" t="s">
        <v>3583</v>
      </c>
      <c r="E356" t="s">
        <v>4583</v>
      </c>
      <c r="F356">
        <v>55</v>
      </c>
      <c r="G356" t="s">
        <v>5016</v>
      </c>
      <c r="H356" t="s">
        <v>5019</v>
      </c>
      <c r="I356" t="s">
        <v>5023</v>
      </c>
      <c r="J356">
        <v>68805</v>
      </c>
      <c r="K356">
        <v>6</v>
      </c>
      <c r="L356" s="7">
        <v>45288</v>
      </c>
      <c r="M356" t="s">
        <v>5030</v>
      </c>
      <c r="N356">
        <v>1</v>
      </c>
      <c r="O356">
        <v>1253</v>
      </c>
    </row>
    <row r="357" spans="1:15" x14ac:dyDescent="0.3">
      <c r="A357" t="s">
        <v>575</v>
      </c>
      <c r="B357" t="s">
        <v>1575</v>
      </c>
      <c r="C357" t="s">
        <v>2575</v>
      </c>
      <c r="D357" t="s">
        <v>3575</v>
      </c>
      <c r="E357" t="s">
        <v>4575</v>
      </c>
      <c r="F357">
        <v>40</v>
      </c>
      <c r="G357" t="s">
        <v>5017</v>
      </c>
      <c r="H357" t="s">
        <v>5020</v>
      </c>
      <c r="I357" t="s">
        <v>5027</v>
      </c>
      <c r="J357">
        <v>68911</v>
      </c>
      <c r="K357">
        <v>77</v>
      </c>
      <c r="L357" s="7">
        <v>45081</v>
      </c>
      <c r="M357" t="s">
        <v>5030</v>
      </c>
      <c r="N357">
        <v>1</v>
      </c>
      <c r="O357">
        <v>8754</v>
      </c>
    </row>
    <row r="358" spans="1:15" x14ac:dyDescent="0.3">
      <c r="A358" t="s">
        <v>929</v>
      </c>
      <c r="B358" t="s">
        <v>1929</v>
      </c>
      <c r="C358" t="s">
        <v>2929</v>
      </c>
      <c r="D358" t="s">
        <v>3929</v>
      </c>
      <c r="E358" t="s">
        <v>4929</v>
      </c>
      <c r="F358">
        <v>54</v>
      </c>
      <c r="G358" t="s">
        <v>5016</v>
      </c>
      <c r="H358" t="s">
        <v>5019</v>
      </c>
      <c r="I358" t="s">
        <v>5023</v>
      </c>
      <c r="J358">
        <v>69060</v>
      </c>
      <c r="K358">
        <v>68</v>
      </c>
      <c r="L358" s="7">
        <v>45173</v>
      </c>
      <c r="M358" t="s">
        <v>5028</v>
      </c>
      <c r="N358">
        <v>1</v>
      </c>
      <c r="O358">
        <v>2677</v>
      </c>
    </row>
    <row r="359" spans="1:15" x14ac:dyDescent="0.3">
      <c r="A359" t="s">
        <v>936</v>
      </c>
      <c r="B359" t="s">
        <v>1936</v>
      </c>
      <c r="C359" t="s">
        <v>2936</v>
      </c>
      <c r="D359" t="s">
        <v>3936</v>
      </c>
      <c r="E359" t="s">
        <v>4936</v>
      </c>
      <c r="F359">
        <v>39</v>
      </c>
      <c r="G359" t="s">
        <v>5017</v>
      </c>
      <c r="H359" t="s">
        <v>5022</v>
      </c>
      <c r="I359" t="s">
        <v>5024</v>
      </c>
      <c r="J359">
        <v>69061</v>
      </c>
      <c r="K359">
        <v>54</v>
      </c>
      <c r="L359" s="7">
        <v>45236</v>
      </c>
      <c r="M359" t="s">
        <v>5029</v>
      </c>
      <c r="N359">
        <v>5</v>
      </c>
      <c r="O359">
        <v>9706</v>
      </c>
    </row>
    <row r="360" spans="1:15" x14ac:dyDescent="0.3">
      <c r="A360" t="s">
        <v>667</v>
      </c>
      <c r="B360" t="s">
        <v>1667</v>
      </c>
      <c r="C360" t="s">
        <v>2667</v>
      </c>
      <c r="D360" t="s">
        <v>3667</v>
      </c>
      <c r="E360" t="s">
        <v>4667</v>
      </c>
      <c r="F360">
        <v>55</v>
      </c>
      <c r="G360" t="s">
        <v>5017</v>
      </c>
      <c r="H360" t="s">
        <v>5021</v>
      </c>
      <c r="I360" t="s">
        <v>5023</v>
      </c>
      <c r="J360">
        <v>69374</v>
      </c>
      <c r="K360">
        <v>79</v>
      </c>
      <c r="L360" s="7">
        <v>45193</v>
      </c>
      <c r="M360" t="s">
        <v>5030</v>
      </c>
      <c r="N360">
        <v>9</v>
      </c>
      <c r="O360">
        <v>618</v>
      </c>
    </row>
    <row r="361" spans="1:15" x14ac:dyDescent="0.3">
      <c r="A361" t="s">
        <v>103</v>
      </c>
      <c r="B361" t="s">
        <v>1103</v>
      </c>
      <c r="C361" t="s">
        <v>2103</v>
      </c>
      <c r="D361" t="s">
        <v>3103</v>
      </c>
      <c r="E361" t="s">
        <v>4103</v>
      </c>
      <c r="F361">
        <v>67</v>
      </c>
      <c r="G361" t="s">
        <v>5016</v>
      </c>
      <c r="H361" t="s">
        <v>5018</v>
      </c>
      <c r="I361" t="s">
        <v>5027</v>
      </c>
      <c r="J361">
        <v>69674</v>
      </c>
      <c r="K361">
        <v>62</v>
      </c>
      <c r="L361" s="7">
        <v>44985</v>
      </c>
      <c r="M361" t="s">
        <v>5028</v>
      </c>
      <c r="N361">
        <v>1</v>
      </c>
      <c r="O361">
        <v>9924</v>
      </c>
    </row>
    <row r="362" spans="1:15" x14ac:dyDescent="0.3">
      <c r="A362" t="s">
        <v>317</v>
      </c>
      <c r="B362" t="s">
        <v>1317</v>
      </c>
      <c r="C362" t="s">
        <v>2317</v>
      </c>
      <c r="D362" t="s">
        <v>3317</v>
      </c>
      <c r="E362" t="s">
        <v>4317</v>
      </c>
      <c r="F362">
        <v>28</v>
      </c>
      <c r="G362" t="s">
        <v>5015</v>
      </c>
      <c r="H362" t="s">
        <v>5021</v>
      </c>
      <c r="I362" t="s">
        <v>5025</v>
      </c>
      <c r="J362">
        <v>69715</v>
      </c>
      <c r="K362">
        <v>41</v>
      </c>
      <c r="L362" s="7">
        <v>45122</v>
      </c>
      <c r="M362" t="s">
        <v>5030</v>
      </c>
      <c r="N362">
        <v>8</v>
      </c>
      <c r="O362">
        <v>1236</v>
      </c>
    </row>
    <row r="363" spans="1:15" x14ac:dyDescent="0.3">
      <c r="A363" t="s">
        <v>359</v>
      </c>
      <c r="B363" t="s">
        <v>1359</v>
      </c>
      <c r="C363" t="s">
        <v>2359</v>
      </c>
      <c r="D363" t="s">
        <v>3359</v>
      </c>
      <c r="E363" t="s">
        <v>4359</v>
      </c>
      <c r="F363">
        <v>33</v>
      </c>
      <c r="G363" t="s">
        <v>5015</v>
      </c>
      <c r="H363" t="s">
        <v>5018</v>
      </c>
      <c r="I363" t="s">
        <v>5027</v>
      </c>
      <c r="J363">
        <v>69918</v>
      </c>
      <c r="K363">
        <v>81</v>
      </c>
      <c r="L363" s="7">
        <v>45056</v>
      </c>
      <c r="M363" t="s">
        <v>5028</v>
      </c>
      <c r="N363">
        <v>7</v>
      </c>
      <c r="O363">
        <v>7188</v>
      </c>
    </row>
    <row r="364" spans="1:15" x14ac:dyDescent="0.3">
      <c r="A364" t="s">
        <v>887</v>
      </c>
      <c r="B364" t="s">
        <v>1887</v>
      </c>
      <c r="C364" t="s">
        <v>2887</v>
      </c>
      <c r="D364" t="s">
        <v>3887</v>
      </c>
      <c r="E364" t="s">
        <v>4887</v>
      </c>
      <c r="F364">
        <v>34</v>
      </c>
      <c r="G364" t="s">
        <v>5015</v>
      </c>
      <c r="H364" t="s">
        <v>5021</v>
      </c>
      <c r="I364" t="s">
        <v>5023</v>
      </c>
      <c r="J364">
        <v>69943</v>
      </c>
      <c r="K364">
        <v>69</v>
      </c>
      <c r="L364" s="7">
        <v>45190</v>
      </c>
      <c r="M364" t="s">
        <v>5029</v>
      </c>
      <c r="N364">
        <v>6</v>
      </c>
      <c r="O364">
        <v>4438</v>
      </c>
    </row>
    <row r="365" spans="1:15" x14ac:dyDescent="0.3">
      <c r="A365" t="s">
        <v>744</v>
      </c>
      <c r="B365" t="s">
        <v>1744</v>
      </c>
      <c r="C365" t="s">
        <v>2744</v>
      </c>
      <c r="D365" t="s">
        <v>3744</v>
      </c>
      <c r="E365" t="s">
        <v>4744</v>
      </c>
      <c r="F365">
        <v>64</v>
      </c>
      <c r="G365" t="s">
        <v>5017</v>
      </c>
      <c r="H365" t="s">
        <v>5020</v>
      </c>
      <c r="I365" t="s">
        <v>5026</v>
      </c>
      <c r="J365">
        <v>70026</v>
      </c>
      <c r="K365">
        <v>18</v>
      </c>
      <c r="L365" s="7">
        <v>45277</v>
      </c>
      <c r="M365" t="s">
        <v>5028</v>
      </c>
      <c r="N365">
        <v>10</v>
      </c>
      <c r="O365">
        <v>5558</v>
      </c>
    </row>
    <row r="366" spans="1:15" x14ac:dyDescent="0.3">
      <c r="A366" t="s">
        <v>834</v>
      </c>
      <c r="B366" t="s">
        <v>1834</v>
      </c>
      <c r="C366" t="s">
        <v>2834</v>
      </c>
      <c r="D366" t="s">
        <v>3834</v>
      </c>
      <c r="E366" t="s">
        <v>4834</v>
      </c>
      <c r="F366">
        <v>65</v>
      </c>
      <c r="G366" t="s">
        <v>5015</v>
      </c>
      <c r="H366" t="s">
        <v>5019</v>
      </c>
      <c r="I366" t="s">
        <v>5024</v>
      </c>
      <c r="J366">
        <v>70137</v>
      </c>
      <c r="K366">
        <v>26</v>
      </c>
      <c r="L366" s="7">
        <v>44935</v>
      </c>
      <c r="M366" t="s">
        <v>5028</v>
      </c>
      <c r="N366">
        <v>4</v>
      </c>
      <c r="O366">
        <v>4625</v>
      </c>
    </row>
    <row r="367" spans="1:15" x14ac:dyDescent="0.3">
      <c r="A367" t="s">
        <v>651</v>
      </c>
      <c r="B367" t="s">
        <v>1651</v>
      </c>
      <c r="C367" t="s">
        <v>2651</v>
      </c>
      <c r="D367" t="s">
        <v>3651</v>
      </c>
      <c r="E367" t="s">
        <v>4651</v>
      </c>
      <c r="F367">
        <v>47</v>
      </c>
      <c r="G367" t="s">
        <v>5016</v>
      </c>
      <c r="H367" t="s">
        <v>5021</v>
      </c>
      <c r="I367" t="s">
        <v>5024</v>
      </c>
      <c r="J367">
        <v>70240</v>
      </c>
      <c r="K367">
        <v>66</v>
      </c>
      <c r="L367" s="7">
        <v>44994</v>
      </c>
      <c r="M367" t="s">
        <v>5028</v>
      </c>
      <c r="N367">
        <v>6</v>
      </c>
      <c r="O367">
        <v>225</v>
      </c>
    </row>
    <row r="368" spans="1:15" x14ac:dyDescent="0.3">
      <c r="A368" t="s">
        <v>806</v>
      </c>
      <c r="B368" t="s">
        <v>1806</v>
      </c>
      <c r="C368" t="s">
        <v>2806</v>
      </c>
      <c r="D368" t="s">
        <v>3806</v>
      </c>
      <c r="E368" t="s">
        <v>4806</v>
      </c>
      <c r="F368">
        <v>47</v>
      </c>
      <c r="G368" t="s">
        <v>5015</v>
      </c>
      <c r="H368" t="s">
        <v>5018</v>
      </c>
      <c r="I368" t="s">
        <v>5023</v>
      </c>
      <c r="J368">
        <v>70601</v>
      </c>
      <c r="K368">
        <v>36</v>
      </c>
      <c r="L368" s="7">
        <v>45179</v>
      </c>
      <c r="M368" t="s">
        <v>5030</v>
      </c>
      <c r="N368">
        <v>10</v>
      </c>
      <c r="O368">
        <v>9015</v>
      </c>
    </row>
    <row r="369" spans="1:15" x14ac:dyDescent="0.3">
      <c r="A369" t="s">
        <v>920</v>
      </c>
      <c r="B369" t="s">
        <v>1920</v>
      </c>
      <c r="C369" t="s">
        <v>2920</v>
      </c>
      <c r="D369" t="s">
        <v>3920</v>
      </c>
      <c r="E369" t="s">
        <v>4920</v>
      </c>
      <c r="F369">
        <v>64</v>
      </c>
      <c r="G369" t="s">
        <v>5015</v>
      </c>
      <c r="H369" t="s">
        <v>5022</v>
      </c>
      <c r="I369" t="s">
        <v>5025</v>
      </c>
      <c r="J369">
        <v>70927</v>
      </c>
      <c r="K369">
        <v>55</v>
      </c>
      <c r="L369" s="7">
        <v>45005</v>
      </c>
      <c r="M369" t="s">
        <v>5028</v>
      </c>
      <c r="N369">
        <v>2</v>
      </c>
      <c r="O369">
        <v>3251</v>
      </c>
    </row>
    <row r="370" spans="1:15" x14ac:dyDescent="0.3">
      <c r="A370" t="s">
        <v>591</v>
      </c>
      <c r="B370" t="s">
        <v>1591</v>
      </c>
      <c r="C370" t="s">
        <v>2591</v>
      </c>
      <c r="D370" t="s">
        <v>3591</v>
      </c>
      <c r="E370" t="s">
        <v>4591</v>
      </c>
      <c r="F370">
        <v>70</v>
      </c>
      <c r="G370" t="s">
        <v>5017</v>
      </c>
      <c r="H370" t="s">
        <v>5020</v>
      </c>
      <c r="I370" t="s">
        <v>5025</v>
      </c>
      <c r="J370">
        <v>71085</v>
      </c>
      <c r="K370">
        <v>33</v>
      </c>
      <c r="L370" s="7">
        <v>45065</v>
      </c>
      <c r="M370" t="s">
        <v>5028</v>
      </c>
      <c r="N370">
        <v>8</v>
      </c>
      <c r="O370">
        <v>1633</v>
      </c>
    </row>
    <row r="371" spans="1:15" x14ac:dyDescent="0.3">
      <c r="A371" t="s">
        <v>376</v>
      </c>
      <c r="B371" t="s">
        <v>1376</v>
      </c>
      <c r="C371" t="s">
        <v>2376</v>
      </c>
      <c r="D371" t="s">
        <v>3376</v>
      </c>
      <c r="E371" t="s">
        <v>4376</v>
      </c>
      <c r="F371">
        <v>55</v>
      </c>
      <c r="G371" t="s">
        <v>5017</v>
      </c>
      <c r="H371" t="s">
        <v>5018</v>
      </c>
      <c r="I371" t="s">
        <v>5027</v>
      </c>
      <c r="J371">
        <v>71322</v>
      </c>
      <c r="K371">
        <v>64</v>
      </c>
      <c r="L371" s="7">
        <v>45216</v>
      </c>
      <c r="M371" t="s">
        <v>5029</v>
      </c>
      <c r="N371">
        <v>6</v>
      </c>
      <c r="O371">
        <v>9029</v>
      </c>
    </row>
    <row r="372" spans="1:15" x14ac:dyDescent="0.3">
      <c r="A372" t="s">
        <v>230</v>
      </c>
      <c r="B372" t="s">
        <v>1230</v>
      </c>
      <c r="C372" t="s">
        <v>2230</v>
      </c>
      <c r="D372" t="s">
        <v>3230</v>
      </c>
      <c r="E372" t="s">
        <v>4230</v>
      </c>
      <c r="F372">
        <v>35</v>
      </c>
      <c r="G372" t="s">
        <v>5016</v>
      </c>
      <c r="H372" t="s">
        <v>5020</v>
      </c>
      <c r="I372" t="s">
        <v>5025</v>
      </c>
      <c r="J372">
        <v>71997</v>
      </c>
      <c r="K372">
        <v>90</v>
      </c>
      <c r="L372" s="7">
        <v>44928</v>
      </c>
      <c r="M372" t="s">
        <v>5030</v>
      </c>
      <c r="N372">
        <v>8</v>
      </c>
      <c r="O372">
        <v>1444</v>
      </c>
    </row>
    <row r="373" spans="1:15" x14ac:dyDescent="0.3">
      <c r="A373" t="s">
        <v>982</v>
      </c>
      <c r="B373" t="s">
        <v>1982</v>
      </c>
      <c r="C373" t="s">
        <v>2982</v>
      </c>
      <c r="D373" t="s">
        <v>3982</v>
      </c>
      <c r="E373" t="s">
        <v>4982</v>
      </c>
      <c r="F373">
        <v>49</v>
      </c>
      <c r="G373" t="s">
        <v>5016</v>
      </c>
      <c r="H373" t="s">
        <v>5022</v>
      </c>
      <c r="I373" t="s">
        <v>5025</v>
      </c>
      <c r="J373">
        <v>72109</v>
      </c>
      <c r="K373">
        <v>54</v>
      </c>
      <c r="L373" s="7">
        <v>45124</v>
      </c>
      <c r="M373" t="s">
        <v>5030</v>
      </c>
      <c r="N373">
        <v>8</v>
      </c>
      <c r="O373">
        <v>6258</v>
      </c>
    </row>
    <row r="374" spans="1:15" x14ac:dyDescent="0.3">
      <c r="A374" t="s">
        <v>379</v>
      </c>
      <c r="B374" t="s">
        <v>1379</v>
      </c>
      <c r="C374" t="s">
        <v>2379</v>
      </c>
      <c r="D374" t="s">
        <v>3379</v>
      </c>
      <c r="E374" t="s">
        <v>4379</v>
      </c>
      <c r="F374">
        <v>66</v>
      </c>
      <c r="G374" t="s">
        <v>5017</v>
      </c>
      <c r="H374" t="s">
        <v>5022</v>
      </c>
      <c r="I374" t="s">
        <v>5024</v>
      </c>
      <c r="J374">
        <v>72139</v>
      </c>
      <c r="K374">
        <v>83</v>
      </c>
      <c r="L374" s="7">
        <v>45278</v>
      </c>
      <c r="M374" t="s">
        <v>5029</v>
      </c>
      <c r="N374">
        <v>9</v>
      </c>
      <c r="O374">
        <v>4961</v>
      </c>
    </row>
    <row r="375" spans="1:15" x14ac:dyDescent="0.3">
      <c r="A375" t="s">
        <v>999</v>
      </c>
      <c r="B375" t="s">
        <v>1999</v>
      </c>
      <c r="C375" t="s">
        <v>2999</v>
      </c>
      <c r="D375" t="s">
        <v>3999</v>
      </c>
      <c r="E375" t="s">
        <v>4999</v>
      </c>
      <c r="F375">
        <v>55</v>
      </c>
      <c r="G375" t="s">
        <v>5016</v>
      </c>
      <c r="H375" t="s">
        <v>5022</v>
      </c>
      <c r="I375" t="s">
        <v>5026</v>
      </c>
      <c r="J375">
        <v>72435</v>
      </c>
      <c r="K375">
        <v>10</v>
      </c>
      <c r="L375" s="7">
        <v>45274</v>
      </c>
      <c r="M375" t="s">
        <v>5028</v>
      </c>
      <c r="N375">
        <v>6</v>
      </c>
      <c r="O375">
        <v>8712</v>
      </c>
    </row>
    <row r="376" spans="1:15" x14ac:dyDescent="0.3">
      <c r="A376" t="s">
        <v>875</v>
      </c>
      <c r="B376" t="s">
        <v>1875</v>
      </c>
      <c r="C376" t="s">
        <v>2875</v>
      </c>
      <c r="D376" t="s">
        <v>3875</v>
      </c>
      <c r="E376" t="s">
        <v>4875</v>
      </c>
      <c r="F376">
        <v>62</v>
      </c>
      <c r="G376" t="s">
        <v>5016</v>
      </c>
      <c r="H376" t="s">
        <v>5022</v>
      </c>
      <c r="I376" t="s">
        <v>5023</v>
      </c>
      <c r="J376">
        <v>72451</v>
      </c>
      <c r="K376">
        <v>1</v>
      </c>
      <c r="L376" s="7">
        <v>45226</v>
      </c>
      <c r="M376" t="s">
        <v>5030</v>
      </c>
      <c r="N376">
        <v>7</v>
      </c>
      <c r="O376">
        <v>8831</v>
      </c>
    </row>
    <row r="377" spans="1:15" x14ac:dyDescent="0.3">
      <c r="A377" t="s">
        <v>969</v>
      </c>
      <c r="B377" t="s">
        <v>1969</v>
      </c>
      <c r="C377" t="s">
        <v>2969</v>
      </c>
      <c r="D377" t="s">
        <v>3969</v>
      </c>
      <c r="E377" t="s">
        <v>4969</v>
      </c>
      <c r="F377">
        <v>39</v>
      </c>
      <c r="G377" t="s">
        <v>5015</v>
      </c>
      <c r="H377" t="s">
        <v>5020</v>
      </c>
      <c r="I377" t="s">
        <v>5025</v>
      </c>
      <c r="J377">
        <v>72569</v>
      </c>
      <c r="K377">
        <v>47</v>
      </c>
      <c r="L377" s="7">
        <v>45152</v>
      </c>
      <c r="M377" t="s">
        <v>5029</v>
      </c>
      <c r="N377">
        <v>8</v>
      </c>
      <c r="O377">
        <v>5292</v>
      </c>
    </row>
    <row r="378" spans="1:15" x14ac:dyDescent="0.3">
      <c r="A378" t="s">
        <v>818</v>
      </c>
      <c r="B378" t="s">
        <v>1818</v>
      </c>
      <c r="C378" t="s">
        <v>2818</v>
      </c>
      <c r="D378" t="s">
        <v>3818</v>
      </c>
      <c r="E378" t="s">
        <v>4818</v>
      </c>
      <c r="F378">
        <v>34</v>
      </c>
      <c r="G378" t="s">
        <v>5015</v>
      </c>
      <c r="H378" t="s">
        <v>5019</v>
      </c>
      <c r="I378" t="s">
        <v>5025</v>
      </c>
      <c r="J378">
        <v>72585</v>
      </c>
      <c r="K378">
        <v>69</v>
      </c>
      <c r="L378" s="7">
        <v>44975</v>
      </c>
      <c r="M378" t="s">
        <v>5030</v>
      </c>
      <c r="N378">
        <v>10</v>
      </c>
      <c r="O378">
        <v>7190</v>
      </c>
    </row>
    <row r="379" spans="1:15" x14ac:dyDescent="0.3">
      <c r="A379" t="s">
        <v>1011</v>
      </c>
      <c r="B379" t="s">
        <v>2011</v>
      </c>
      <c r="C379" t="s">
        <v>3011</v>
      </c>
      <c r="D379" t="s">
        <v>4011</v>
      </c>
      <c r="E379" t="s">
        <v>5011</v>
      </c>
      <c r="F379">
        <v>55</v>
      </c>
      <c r="G379" t="s">
        <v>5016</v>
      </c>
      <c r="H379" t="s">
        <v>5018</v>
      </c>
      <c r="I379" t="s">
        <v>5023</v>
      </c>
      <c r="J379">
        <v>72729</v>
      </c>
      <c r="K379">
        <v>3</v>
      </c>
      <c r="L379" s="7">
        <v>44935</v>
      </c>
      <c r="M379" t="s">
        <v>5028</v>
      </c>
      <c r="N379">
        <v>10</v>
      </c>
      <c r="O379">
        <v>8295</v>
      </c>
    </row>
    <row r="380" spans="1:15" x14ac:dyDescent="0.3">
      <c r="A380" t="s">
        <v>91</v>
      </c>
      <c r="B380" t="s">
        <v>1091</v>
      </c>
      <c r="C380" t="s">
        <v>2091</v>
      </c>
      <c r="D380" t="s">
        <v>3091</v>
      </c>
      <c r="E380" t="s">
        <v>4091</v>
      </c>
      <c r="F380">
        <v>52</v>
      </c>
      <c r="G380" t="s">
        <v>5016</v>
      </c>
      <c r="H380" t="s">
        <v>5018</v>
      </c>
      <c r="I380" t="s">
        <v>5025</v>
      </c>
      <c r="J380">
        <v>72758</v>
      </c>
      <c r="K380">
        <v>29</v>
      </c>
      <c r="L380" s="7">
        <v>45287</v>
      </c>
      <c r="M380" t="s">
        <v>5030</v>
      </c>
      <c r="N380">
        <v>3</v>
      </c>
      <c r="O380">
        <v>3247</v>
      </c>
    </row>
    <row r="381" spans="1:15" x14ac:dyDescent="0.3">
      <c r="A381" t="s">
        <v>621</v>
      </c>
      <c r="B381" t="s">
        <v>1621</v>
      </c>
      <c r="C381" t="s">
        <v>2621</v>
      </c>
      <c r="D381" t="s">
        <v>3621</v>
      </c>
      <c r="E381" t="s">
        <v>4621</v>
      </c>
      <c r="F381">
        <v>68</v>
      </c>
      <c r="G381" t="s">
        <v>5016</v>
      </c>
      <c r="H381" t="s">
        <v>5022</v>
      </c>
      <c r="I381" t="s">
        <v>5023</v>
      </c>
      <c r="J381">
        <v>73193</v>
      </c>
      <c r="K381">
        <v>13</v>
      </c>
      <c r="L381" s="7">
        <v>44986</v>
      </c>
      <c r="M381" t="s">
        <v>5030</v>
      </c>
      <c r="N381">
        <v>7</v>
      </c>
      <c r="O381">
        <v>3347</v>
      </c>
    </row>
    <row r="382" spans="1:15" x14ac:dyDescent="0.3">
      <c r="A382" t="s">
        <v>162</v>
      </c>
      <c r="B382" t="s">
        <v>1162</v>
      </c>
      <c r="C382" t="s">
        <v>2162</v>
      </c>
      <c r="D382" t="s">
        <v>3162</v>
      </c>
      <c r="E382" t="s">
        <v>4162</v>
      </c>
      <c r="F382">
        <v>67</v>
      </c>
      <c r="G382" t="s">
        <v>5016</v>
      </c>
      <c r="H382" t="s">
        <v>5019</v>
      </c>
      <c r="I382" t="s">
        <v>5023</v>
      </c>
      <c r="J382">
        <v>73207</v>
      </c>
      <c r="K382">
        <v>38</v>
      </c>
      <c r="L382" s="7">
        <v>45031</v>
      </c>
      <c r="M382" t="s">
        <v>5028</v>
      </c>
      <c r="N382">
        <v>10</v>
      </c>
      <c r="O382">
        <v>9227</v>
      </c>
    </row>
    <row r="383" spans="1:15" x14ac:dyDescent="0.3">
      <c r="A383" t="s">
        <v>207</v>
      </c>
      <c r="B383" t="s">
        <v>1207</v>
      </c>
      <c r="C383" t="s">
        <v>2207</v>
      </c>
      <c r="D383" t="s">
        <v>3207</v>
      </c>
      <c r="E383" t="s">
        <v>4207</v>
      </c>
      <c r="F383">
        <v>67</v>
      </c>
      <c r="G383" t="s">
        <v>5015</v>
      </c>
      <c r="H383" t="s">
        <v>5022</v>
      </c>
      <c r="I383" t="s">
        <v>5024</v>
      </c>
      <c r="J383">
        <v>73234</v>
      </c>
      <c r="K383">
        <v>89</v>
      </c>
      <c r="L383" s="7">
        <v>45266</v>
      </c>
      <c r="M383" t="s">
        <v>5030</v>
      </c>
      <c r="N383">
        <v>2</v>
      </c>
      <c r="O383">
        <v>3717</v>
      </c>
    </row>
    <row r="384" spans="1:15" x14ac:dyDescent="0.3">
      <c r="A384" t="s">
        <v>614</v>
      </c>
      <c r="B384" t="s">
        <v>1614</v>
      </c>
      <c r="C384" t="s">
        <v>2614</v>
      </c>
      <c r="D384" t="s">
        <v>3614</v>
      </c>
      <c r="E384" t="s">
        <v>4614</v>
      </c>
      <c r="F384">
        <v>66</v>
      </c>
      <c r="G384" t="s">
        <v>5015</v>
      </c>
      <c r="H384" t="s">
        <v>5020</v>
      </c>
      <c r="I384" t="s">
        <v>5024</v>
      </c>
      <c r="J384">
        <v>73248</v>
      </c>
      <c r="K384">
        <v>90</v>
      </c>
      <c r="L384" s="7">
        <v>44947</v>
      </c>
      <c r="M384" t="s">
        <v>5029</v>
      </c>
      <c r="N384">
        <v>10</v>
      </c>
      <c r="O384">
        <v>1540</v>
      </c>
    </row>
    <row r="385" spans="1:15" x14ac:dyDescent="0.3">
      <c r="A385" t="s">
        <v>332</v>
      </c>
      <c r="B385" t="s">
        <v>1332</v>
      </c>
      <c r="C385" t="s">
        <v>2332</v>
      </c>
      <c r="D385" t="s">
        <v>3332</v>
      </c>
      <c r="E385" t="s">
        <v>4332</v>
      </c>
      <c r="F385">
        <v>58</v>
      </c>
      <c r="G385" t="s">
        <v>5015</v>
      </c>
      <c r="H385" t="s">
        <v>5018</v>
      </c>
      <c r="I385" t="s">
        <v>5024</v>
      </c>
      <c r="J385">
        <v>73257</v>
      </c>
      <c r="K385">
        <v>13</v>
      </c>
      <c r="L385" s="7">
        <v>45060</v>
      </c>
      <c r="M385" t="s">
        <v>5029</v>
      </c>
      <c r="N385">
        <v>2</v>
      </c>
      <c r="O385">
        <v>9908</v>
      </c>
    </row>
    <row r="386" spans="1:15" x14ac:dyDescent="0.3">
      <c r="A386" t="s">
        <v>135</v>
      </c>
      <c r="B386" t="s">
        <v>1135</v>
      </c>
      <c r="C386" t="s">
        <v>2135</v>
      </c>
      <c r="D386" t="s">
        <v>3135</v>
      </c>
      <c r="E386" t="s">
        <v>4135</v>
      </c>
      <c r="F386">
        <v>53</v>
      </c>
      <c r="G386" t="s">
        <v>5016</v>
      </c>
      <c r="H386" t="s">
        <v>5020</v>
      </c>
      <c r="I386" t="s">
        <v>5027</v>
      </c>
      <c r="J386">
        <v>73289</v>
      </c>
      <c r="K386">
        <v>90</v>
      </c>
      <c r="L386" s="7">
        <v>44937</v>
      </c>
      <c r="M386" t="s">
        <v>5029</v>
      </c>
      <c r="N386">
        <v>5</v>
      </c>
      <c r="O386">
        <v>2227</v>
      </c>
    </row>
    <row r="387" spans="1:15" x14ac:dyDescent="0.3">
      <c r="A387" t="s">
        <v>918</v>
      </c>
      <c r="B387" t="s">
        <v>1918</v>
      </c>
      <c r="C387" t="s">
        <v>2918</v>
      </c>
      <c r="D387" t="s">
        <v>3918</v>
      </c>
      <c r="E387" t="s">
        <v>4918</v>
      </c>
      <c r="F387">
        <v>60</v>
      </c>
      <c r="G387" t="s">
        <v>5015</v>
      </c>
      <c r="H387" t="s">
        <v>5020</v>
      </c>
      <c r="I387" t="s">
        <v>5025</v>
      </c>
      <c r="J387">
        <v>73324</v>
      </c>
      <c r="K387">
        <v>6</v>
      </c>
      <c r="L387" s="7">
        <v>45141</v>
      </c>
      <c r="M387" t="s">
        <v>5030</v>
      </c>
      <c r="N387">
        <v>9</v>
      </c>
      <c r="O387">
        <v>2817</v>
      </c>
    </row>
    <row r="388" spans="1:15" x14ac:dyDescent="0.3">
      <c r="A388" t="s">
        <v>451</v>
      </c>
      <c r="B388" t="s">
        <v>1451</v>
      </c>
      <c r="C388" t="s">
        <v>2451</v>
      </c>
      <c r="D388" t="s">
        <v>3451</v>
      </c>
      <c r="E388" t="s">
        <v>4451</v>
      </c>
      <c r="F388">
        <v>43</v>
      </c>
      <c r="G388" t="s">
        <v>5015</v>
      </c>
      <c r="H388" t="s">
        <v>5021</v>
      </c>
      <c r="I388" t="s">
        <v>5025</v>
      </c>
      <c r="J388">
        <v>73425</v>
      </c>
      <c r="K388">
        <v>87</v>
      </c>
      <c r="L388" s="7">
        <v>45237</v>
      </c>
      <c r="M388" t="s">
        <v>5029</v>
      </c>
      <c r="N388">
        <v>8</v>
      </c>
      <c r="O388">
        <v>7564</v>
      </c>
    </row>
    <row r="389" spans="1:15" x14ac:dyDescent="0.3">
      <c r="A389" t="s">
        <v>199</v>
      </c>
      <c r="B389" t="s">
        <v>1199</v>
      </c>
      <c r="C389" t="s">
        <v>2199</v>
      </c>
      <c r="D389" t="s">
        <v>3199</v>
      </c>
      <c r="E389" t="s">
        <v>4199</v>
      </c>
      <c r="F389">
        <v>69</v>
      </c>
      <c r="G389" t="s">
        <v>5016</v>
      </c>
      <c r="H389" t="s">
        <v>5019</v>
      </c>
      <c r="I389" t="s">
        <v>5023</v>
      </c>
      <c r="J389">
        <v>73521</v>
      </c>
      <c r="K389">
        <v>75</v>
      </c>
      <c r="L389" s="7">
        <v>45152</v>
      </c>
      <c r="M389" t="s">
        <v>5028</v>
      </c>
      <c r="N389">
        <v>4</v>
      </c>
      <c r="O389">
        <v>5669</v>
      </c>
    </row>
    <row r="390" spans="1:15" x14ac:dyDescent="0.3">
      <c r="A390" t="s">
        <v>846</v>
      </c>
      <c r="B390" t="s">
        <v>1846</v>
      </c>
      <c r="C390" t="s">
        <v>2846</v>
      </c>
      <c r="D390" t="s">
        <v>3846</v>
      </c>
      <c r="E390" t="s">
        <v>4846</v>
      </c>
      <c r="F390">
        <v>25</v>
      </c>
      <c r="G390" t="s">
        <v>5016</v>
      </c>
      <c r="H390" t="s">
        <v>5020</v>
      </c>
      <c r="I390" t="s">
        <v>5025</v>
      </c>
      <c r="J390">
        <v>73612</v>
      </c>
      <c r="K390">
        <v>97</v>
      </c>
      <c r="L390" s="7">
        <v>45070</v>
      </c>
      <c r="M390" t="s">
        <v>5030</v>
      </c>
      <c r="N390">
        <v>10</v>
      </c>
      <c r="O390">
        <v>730</v>
      </c>
    </row>
    <row r="391" spans="1:15" x14ac:dyDescent="0.3">
      <c r="A391" t="s">
        <v>335</v>
      </c>
      <c r="B391" t="s">
        <v>1335</v>
      </c>
      <c r="C391" t="s">
        <v>2335</v>
      </c>
      <c r="D391" t="s">
        <v>3335</v>
      </c>
      <c r="E391" t="s">
        <v>4335</v>
      </c>
      <c r="F391">
        <v>38</v>
      </c>
      <c r="G391" t="s">
        <v>5016</v>
      </c>
      <c r="H391" t="s">
        <v>5022</v>
      </c>
      <c r="I391" t="s">
        <v>5023</v>
      </c>
      <c r="J391">
        <v>73640</v>
      </c>
      <c r="K391">
        <v>87</v>
      </c>
      <c r="L391" s="7">
        <v>45221</v>
      </c>
      <c r="M391" t="s">
        <v>5029</v>
      </c>
      <c r="N391">
        <v>2</v>
      </c>
      <c r="O391">
        <v>6775</v>
      </c>
    </row>
    <row r="392" spans="1:15" x14ac:dyDescent="0.3">
      <c r="A392" t="s">
        <v>438</v>
      </c>
      <c r="B392" t="s">
        <v>1438</v>
      </c>
      <c r="C392" t="s">
        <v>2438</v>
      </c>
      <c r="D392" t="s">
        <v>3438</v>
      </c>
      <c r="E392" t="s">
        <v>4438</v>
      </c>
      <c r="F392">
        <v>69</v>
      </c>
      <c r="G392" t="s">
        <v>5016</v>
      </c>
      <c r="H392" t="s">
        <v>5020</v>
      </c>
      <c r="I392" t="s">
        <v>5024</v>
      </c>
      <c r="J392">
        <v>73742</v>
      </c>
      <c r="K392">
        <v>41</v>
      </c>
      <c r="L392" s="7">
        <v>45029</v>
      </c>
      <c r="M392" t="s">
        <v>5030</v>
      </c>
      <c r="N392">
        <v>7</v>
      </c>
      <c r="O392">
        <v>3117</v>
      </c>
    </row>
    <row r="393" spans="1:15" x14ac:dyDescent="0.3">
      <c r="A393" t="s">
        <v>408</v>
      </c>
      <c r="B393" t="s">
        <v>1408</v>
      </c>
      <c r="C393" t="s">
        <v>2408</v>
      </c>
      <c r="D393" t="s">
        <v>3408</v>
      </c>
      <c r="E393" t="s">
        <v>4408</v>
      </c>
      <c r="F393">
        <v>53</v>
      </c>
      <c r="G393" t="s">
        <v>5016</v>
      </c>
      <c r="H393" t="s">
        <v>5021</v>
      </c>
      <c r="I393" t="s">
        <v>5025</v>
      </c>
      <c r="J393">
        <v>73880</v>
      </c>
      <c r="K393">
        <v>20</v>
      </c>
      <c r="L393" s="7">
        <v>45136</v>
      </c>
      <c r="M393" t="s">
        <v>5030</v>
      </c>
      <c r="N393">
        <v>9</v>
      </c>
      <c r="O393">
        <v>5430</v>
      </c>
    </row>
    <row r="394" spans="1:15" x14ac:dyDescent="0.3">
      <c r="A394" t="s">
        <v>983</v>
      </c>
      <c r="B394" t="s">
        <v>1983</v>
      </c>
      <c r="C394" t="s">
        <v>2983</v>
      </c>
      <c r="D394" t="s">
        <v>3983</v>
      </c>
      <c r="E394" t="s">
        <v>4983</v>
      </c>
      <c r="F394">
        <v>21</v>
      </c>
      <c r="G394" t="s">
        <v>5015</v>
      </c>
      <c r="H394" t="s">
        <v>5019</v>
      </c>
      <c r="I394" t="s">
        <v>5026</v>
      </c>
      <c r="J394">
        <v>74192</v>
      </c>
      <c r="K394">
        <v>92</v>
      </c>
      <c r="L394" s="7">
        <v>45160</v>
      </c>
      <c r="M394" t="s">
        <v>5030</v>
      </c>
      <c r="N394">
        <v>10</v>
      </c>
      <c r="O394">
        <v>6576</v>
      </c>
    </row>
    <row r="395" spans="1:15" x14ac:dyDescent="0.3">
      <c r="A395" t="s">
        <v>785</v>
      </c>
      <c r="B395" t="s">
        <v>1785</v>
      </c>
      <c r="C395" t="s">
        <v>2785</v>
      </c>
      <c r="D395" t="s">
        <v>3785</v>
      </c>
      <c r="E395" t="s">
        <v>4785</v>
      </c>
      <c r="F395">
        <v>60</v>
      </c>
      <c r="G395" t="s">
        <v>5016</v>
      </c>
      <c r="H395" t="s">
        <v>5019</v>
      </c>
      <c r="I395" t="s">
        <v>5024</v>
      </c>
      <c r="J395">
        <v>74223</v>
      </c>
      <c r="K395">
        <v>6</v>
      </c>
      <c r="L395" s="7">
        <v>45276</v>
      </c>
      <c r="M395" t="s">
        <v>5028</v>
      </c>
      <c r="N395">
        <v>1</v>
      </c>
      <c r="O395">
        <v>7250</v>
      </c>
    </row>
    <row r="396" spans="1:15" x14ac:dyDescent="0.3">
      <c r="A396" t="s">
        <v>857</v>
      </c>
      <c r="B396" t="s">
        <v>1857</v>
      </c>
      <c r="C396" t="s">
        <v>2857</v>
      </c>
      <c r="D396" t="s">
        <v>3857</v>
      </c>
      <c r="E396" t="s">
        <v>4857</v>
      </c>
      <c r="F396">
        <v>51</v>
      </c>
      <c r="G396" t="s">
        <v>5016</v>
      </c>
      <c r="H396" t="s">
        <v>5022</v>
      </c>
      <c r="I396" t="s">
        <v>5024</v>
      </c>
      <c r="J396">
        <v>74281</v>
      </c>
      <c r="K396">
        <v>19</v>
      </c>
      <c r="L396" s="7">
        <v>45138</v>
      </c>
      <c r="M396" t="s">
        <v>5028</v>
      </c>
      <c r="N396">
        <v>3</v>
      </c>
      <c r="O396">
        <v>3956</v>
      </c>
    </row>
    <row r="397" spans="1:15" x14ac:dyDescent="0.3">
      <c r="A397" t="s">
        <v>586</v>
      </c>
      <c r="B397" t="s">
        <v>1586</v>
      </c>
      <c r="C397" t="s">
        <v>2586</v>
      </c>
      <c r="D397" t="s">
        <v>3586</v>
      </c>
      <c r="E397" t="s">
        <v>4586</v>
      </c>
      <c r="F397">
        <v>60</v>
      </c>
      <c r="G397" t="s">
        <v>5015</v>
      </c>
      <c r="H397" t="s">
        <v>5022</v>
      </c>
      <c r="I397" t="s">
        <v>5027</v>
      </c>
      <c r="J397">
        <v>74651</v>
      </c>
      <c r="K397">
        <v>11</v>
      </c>
      <c r="L397" s="7">
        <v>44932</v>
      </c>
      <c r="M397" t="s">
        <v>5029</v>
      </c>
      <c r="N397">
        <v>2</v>
      </c>
      <c r="O397">
        <v>8033</v>
      </c>
    </row>
    <row r="398" spans="1:15" x14ac:dyDescent="0.3">
      <c r="A398" t="s">
        <v>136</v>
      </c>
      <c r="B398" t="s">
        <v>1136</v>
      </c>
      <c r="C398" t="s">
        <v>2136</v>
      </c>
      <c r="D398" t="s">
        <v>3136</v>
      </c>
      <c r="E398" t="s">
        <v>4136</v>
      </c>
      <c r="F398">
        <v>60</v>
      </c>
      <c r="G398" t="s">
        <v>5017</v>
      </c>
      <c r="H398" t="s">
        <v>5020</v>
      </c>
      <c r="I398" t="s">
        <v>5026</v>
      </c>
      <c r="J398">
        <v>74677</v>
      </c>
      <c r="K398">
        <v>20</v>
      </c>
      <c r="L398" s="7">
        <v>45221</v>
      </c>
      <c r="M398" t="s">
        <v>5029</v>
      </c>
      <c r="N398">
        <v>6</v>
      </c>
      <c r="O398">
        <v>9156</v>
      </c>
    </row>
    <row r="399" spans="1:15" x14ac:dyDescent="0.3">
      <c r="A399" t="s">
        <v>629</v>
      </c>
      <c r="B399" t="s">
        <v>1629</v>
      </c>
      <c r="C399" t="s">
        <v>2629</v>
      </c>
      <c r="D399" t="s">
        <v>3629</v>
      </c>
      <c r="E399" t="s">
        <v>4629</v>
      </c>
      <c r="F399">
        <v>68</v>
      </c>
      <c r="G399" t="s">
        <v>5017</v>
      </c>
      <c r="H399" t="s">
        <v>5018</v>
      </c>
      <c r="I399" t="s">
        <v>5025</v>
      </c>
      <c r="J399">
        <v>74794</v>
      </c>
      <c r="K399">
        <v>16</v>
      </c>
      <c r="L399" s="7">
        <v>45174</v>
      </c>
      <c r="M399" t="s">
        <v>5029</v>
      </c>
      <c r="N399">
        <v>7</v>
      </c>
      <c r="O399">
        <v>4644</v>
      </c>
    </row>
    <row r="400" spans="1:15" x14ac:dyDescent="0.3">
      <c r="A400" t="s">
        <v>450</v>
      </c>
      <c r="B400" t="s">
        <v>1450</v>
      </c>
      <c r="C400" t="s">
        <v>2450</v>
      </c>
      <c r="D400" t="s">
        <v>3450</v>
      </c>
      <c r="E400" t="s">
        <v>4450</v>
      </c>
      <c r="F400">
        <v>27</v>
      </c>
      <c r="G400" t="s">
        <v>5015</v>
      </c>
      <c r="H400" t="s">
        <v>5021</v>
      </c>
      <c r="I400" t="s">
        <v>5027</v>
      </c>
      <c r="J400">
        <v>74826</v>
      </c>
      <c r="K400">
        <v>96</v>
      </c>
      <c r="L400" s="7">
        <v>44956</v>
      </c>
      <c r="M400" t="s">
        <v>5028</v>
      </c>
      <c r="N400">
        <v>10</v>
      </c>
      <c r="O400">
        <v>2748</v>
      </c>
    </row>
    <row r="401" spans="1:15" x14ac:dyDescent="0.3">
      <c r="A401" t="s">
        <v>652</v>
      </c>
      <c r="B401" t="s">
        <v>1652</v>
      </c>
      <c r="C401" t="s">
        <v>2652</v>
      </c>
      <c r="D401" t="s">
        <v>3652</v>
      </c>
      <c r="E401" t="s">
        <v>4652</v>
      </c>
      <c r="F401">
        <v>31</v>
      </c>
      <c r="G401" t="s">
        <v>5016</v>
      </c>
      <c r="H401" t="s">
        <v>5020</v>
      </c>
      <c r="I401" t="s">
        <v>5026</v>
      </c>
      <c r="J401">
        <v>74975</v>
      </c>
      <c r="K401">
        <v>18</v>
      </c>
      <c r="L401" s="7">
        <v>45040</v>
      </c>
      <c r="M401" t="s">
        <v>5030</v>
      </c>
      <c r="N401">
        <v>1</v>
      </c>
      <c r="O401">
        <v>5065</v>
      </c>
    </row>
    <row r="402" spans="1:15" x14ac:dyDescent="0.3">
      <c r="A402" t="s">
        <v>548</v>
      </c>
      <c r="B402" t="s">
        <v>1548</v>
      </c>
      <c r="C402" t="s">
        <v>2548</v>
      </c>
      <c r="D402" t="s">
        <v>3548</v>
      </c>
      <c r="E402" t="s">
        <v>4548</v>
      </c>
      <c r="F402">
        <v>24</v>
      </c>
      <c r="G402" t="s">
        <v>5017</v>
      </c>
      <c r="H402" t="s">
        <v>5019</v>
      </c>
      <c r="I402" t="s">
        <v>5027</v>
      </c>
      <c r="J402">
        <v>75029</v>
      </c>
      <c r="K402">
        <v>81</v>
      </c>
      <c r="L402" s="7">
        <v>44939</v>
      </c>
      <c r="M402" t="s">
        <v>5029</v>
      </c>
      <c r="N402">
        <v>9</v>
      </c>
      <c r="O402">
        <v>6567</v>
      </c>
    </row>
    <row r="403" spans="1:15" x14ac:dyDescent="0.3">
      <c r="A403" t="s">
        <v>32</v>
      </c>
      <c r="B403" t="s">
        <v>1032</v>
      </c>
      <c r="C403" t="s">
        <v>2032</v>
      </c>
      <c r="D403" t="s">
        <v>3032</v>
      </c>
      <c r="E403" t="s">
        <v>4032</v>
      </c>
      <c r="F403">
        <v>18</v>
      </c>
      <c r="G403" t="s">
        <v>5017</v>
      </c>
      <c r="H403" t="s">
        <v>5022</v>
      </c>
      <c r="I403" t="s">
        <v>5024</v>
      </c>
      <c r="J403">
        <v>75607</v>
      </c>
      <c r="K403">
        <v>83</v>
      </c>
      <c r="L403" s="7">
        <v>45202</v>
      </c>
      <c r="M403" t="s">
        <v>5028</v>
      </c>
      <c r="N403">
        <v>7</v>
      </c>
      <c r="O403">
        <v>1791</v>
      </c>
    </row>
    <row r="404" spans="1:15" x14ac:dyDescent="0.3">
      <c r="A404" t="s">
        <v>743</v>
      </c>
      <c r="B404" t="s">
        <v>1743</v>
      </c>
      <c r="C404" t="s">
        <v>2743</v>
      </c>
      <c r="D404" t="s">
        <v>3743</v>
      </c>
      <c r="E404" t="s">
        <v>4743</v>
      </c>
      <c r="F404">
        <v>62</v>
      </c>
      <c r="G404" t="s">
        <v>5016</v>
      </c>
      <c r="H404" t="s">
        <v>5021</v>
      </c>
      <c r="I404" t="s">
        <v>5027</v>
      </c>
      <c r="J404">
        <v>75701</v>
      </c>
      <c r="K404">
        <v>45</v>
      </c>
      <c r="L404" s="7">
        <v>45226</v>
      </c>
      <c r="M404" t="s">
        <v>5029</v>
      </c>
      <c r="N404">
        <v>1</v>
      </c>
      <c r="O404">
        <v>128</v>
      </c>
    </row>
    <row r="405" spans="1:15" x14ac:dyDescent="0.3">
      <c r="A405" t="s">
        <v>752</v>
      </c>
      <c r="B405" t="s">
        <v>1752</v>
      </c>
      <c r="C405" t="s">
        <v>2752</v>
      </c>
      <c r="D405" t="s">
        <v>3752</v>
      </c>
      <c r="E405" t="s">
        <v>4752</v>
      </c>
      <c r="F405">
        <v>68</v>
      </c>
      <c r="G405" t="s">
        <v>5016</v>
      </c>
      <c r="H405" t="s">
        <v>5019</v>
      </c>
      <c r="I405" t="s">
        <v>5025</v>
      </c>
      <c r="J405">
        <v>75850</v>
      </c>
      <c r="K405">
        <v>45</v>
      </c>
      <c r="L405" s="7">
        <v>45133</v>
      </c>
      <c r="M405" t="s">
        <v>5028</v>
      </c>
      <c r="N405">
        <v>5</v>
      </c>
      <c r="O405">
        <v>7817</v>
      </c>
    </row>
    <row r="406" spans="1:15" x14ac:dyDescent="0.3">
      <c r="A406" t="s">
        <v>861</v>
      </c>
      <c r="B406" t="s">
        <v>1861</v>
      </c>
      <c r="C406" t="s">
        <v>2861</v>
      </c>
      <c r="D406" t="s">
        <v>3861</v>
      </c>
      <c r="E406" t="s">
        <v>4861</v>
      </c>
      <c r="F406">
        <v>37</v>
      </c>
      <c r="G406" t="s">
        <v>5017</v>
      </c>
      <c r="H406" t="s">
        <v>5022</v>
      </c>
      <c r="I406" t="s">
        <v>5027</v>
      </c>
      <c r="J406">
        <v>75965</v>
      </c>
      <c r="K406">
        <v>3</v>
      </c>
      <c r="L406" s="7">
        <v>45017</v>
      </c>
      <c r="M406" t="s">
        <v>5028</v>
      </c>
      <c r="N406">
        <v>2</v>
      </c>
      <c r="O406">
        <v>6647</v>
      </c>
    </row>
    <row r="407" spans="1:15" x14ac:dyDescent="0.3">
      <c r="A407" t="s">
        <v>541</v>
      </c>
      <c r="B407" t="s">
        <v>1541</v>
      </c>
      <c r="C407" t="s">
        <v>2541</v>
      </c>
      <c r="D407" t="s">
        <v>3541</v>
      </c>
      <c r="E407" t="s">
        <v>4541</v>
      </c>
      <c r="F407">
        <v>26</v>
      </c>
      <c r="G407" t="s">
        <v>5016</v>
      </c>
      <c r="H407" t="s">
        <v>5021</v>
      </c>
      <c r="I407" t="s">
        <v>5027</v>
      </c>
      <c r="J407">
        <v>76003</v>
      </c>
      <c r="K407">
        <v>56</v>
      </c>
      <c r="L407" s="7">
        <v>44963</v>
      </c>
      <c r="M407" t="s">
        <v>5028</v>
      </c>
      <c r="N407">
        <v>3</v>
      </c>
      <c r="O407">
        <v>5583</v>
      </c>
    </row>
    <row r="408" spans="1:15" x14ac:dyDescent="0.3">
      <c r="A408" t="s">
        <v>253</v>
      </c>
      <c r="B408" t="s">
        <v>1253</v>
      </c>
      <c r="C408" t="s">
        <v>2253</v>
      </c>
      <c r="D408" t="s">
        <v>3253</v>
      </c>
      <c r="E408" t="s">
        <v>4253</v>
      </c>
      <c r="F408">
        <v>59</v>
      </c>
      <c r="G408" t="s">
        <v>5017</v>
      </c>
      <c r="H408" t="s">
        <v>5022</v>
      </c>
      <c r="I408" t="s">
        <v>5023</v>
      </c>
      <c r="J408">
        <v>76244</v>
      </c>
      <c r="K408">
        <v>52</v>
      </c>
      <c r="L408" s="7">
        <v>45060</v>
      </c>
      <c r="M408" t="s">
        <v>5029</v>
      </c>
      <c r="N408">
        <v>2</v>
      </c>
      <c r="O408">
        <v>5754</v>
      </c>
    </row>
    <row r="409" spans="1:15" x14ac:dyDescent="0.3">
      <c r="A409" t="s">
        <v>122</v>
      </c>
      <c r="B409" t="s">
        <v>1122</v>
      </c>
      <c r="C409" t="s">
        <v>2122</v>
      </c>
      <c r="D409" t="s">
        <v>3122</v>
      </c>
      <c r="E409" t="s">
        <v>4122</v>
      </c>
      <c r="F409">
        <v>40</v>
      </c>
      <c r="G409" t="s">
        <v>5017</v>
      </c>
      <c r="H409" t="s">
        <v>5019</v>
      </c>
      <c r="I409" t="s">
        <v>5023</v>
      </c>
      <c r="J409">
        <v>76382</v>
      </c>
      <c r="K409">
        <v>93</v>
      </c>
      <c r="L409" s="7">
        <v>45098</v>
      </c>
      <c r="M409" t="s">
        <v>5028</v>
      </c>
      <c r="N409">
        <v>2</v>
      </c>
      <c r="O409">
        <v>9028</v>
      </c>
    </row>
    <row r="410" spans="1:15" x14ac:dyDescent="0.3">
      <c r="A410" t="s">
        <v>502</v>
      </c>
      <c r="B410" t="s">
        <v>1502</v>
      </c>
      <c r="C410" t="s">
        <v>2502</v>
      </c>
      <c r="D410" t="s">
        <v>3502</v>
      </c>
      <c r="E410" t="s">
        <v>4502</v>
      </c>
      <c r="F410">
        <v>67</v>
      </c>
      <c r="G410" t="s">
        <v>5017</v>
      </c>
      <c r="H410" t="s">
        <v>5021</v>
      </c>
      <c r="I410" t="s">
        <v>5024</v>
      </c>
      <c r="J410">
        <v>76753</v>
      </c>
      <c r="K410">
        <v>55</v>
      </c>
      <c r="L410" s="7">
        <v>44955</v>
      </c>
      <c r="M410" t="s">
        <v>5030</v>
      </c>
      <c r="N410">
        <v>5</v>
      </c>
      <c r="O410">
        <v>8124</v>
      </c>
    </row>
    <row r="411" spans="1:15" x14ac:dyDescent="0.3">
      <c r="A411" t="s">
        <v>692</v>
      </c>
      <c r="B411" t="s">
        <v>1692</v>
      </c>
      <c r="C411" t="s">
        <v>2692</v>
      </c>
      <c r="D411" t="s">
        <v>3692</v>
      </c>
      <c r="E411" t="s">
        <v>4692</v>
      </c>
      <c r="F411">
        <v>42</v>
      </c>
      <c r="G411" t="s">
        <v>5017</v>
      </c>
      <c r="H411" t="s">
        <v>5020</v>
      </c>
      <c r="I411" t="s">
        <v>5026</v>
      </c>
      <c r="J411">
        <v>76931</v>
      </c>
      <c r="K411">
        <v>26</v>
      </c>
      <c r="L411" s="7">
        <v>45098</v>
      </c>
      <c r="M411" t="s">
        <v>5030</v>
      </c>
      <c r="N411">
        <v>1</v>
      </c>
      <c r="O411">
        <v>195</v>
      </c>
    </row>
    <row r="412" spans="1:15" x14ac:dyDescent="0.3">
      <c r="A412" t="s">
        <v>649</v>
      </c>
      <c r="B412" t="s">
        <v>1649</v>
      </c>
      <c r="C412" t="s">
        <v>2649</v>
      </c>
      <c r="D412" t="s">
        <v>3649</v>
      </c>
      <c r="E412" t="s">
        <v>4649</v>
      </c>
      <c r="F412">
        <v>21</v>
      </c>
      <c r="G412" t="s">
        <v>5015</v>
      </c>
      <c r="H412" t="s">
        <v>5019</v>
      </c>
      <c r="I412" t="s">
        <v>5026</v>
      </c>
      <c r="J412">
        <v>76984</v>
      </c>
      <c r="K412">
        <v>74</v>
      </c>
      <c r="L412" s="7">
        <v>45138</v>
      </c>
      <c r="M412" t="s">
        <v>5030</v>
      </c>
      <c r="N412">
        <v>7</v>
      </c>
      <c r="O412">
        <v>1961</v>
      </c>
    </row>
    <row r="413" spans="1:15" x14ac:dyDescent="0.3">
      <c r="A413" t="s">
        <v>574</v>
      </c>
      <c r="B413" t="s">
        <v>1574</v>
      </c>
      <c r="C413" t="s">
        <v>2574</v>
      </c>
      <c r="D413" t="s">
        <v>3574</v>
      </c>
      <c r="E413" t="s">
        <v>4574</v>
      </c>
      <c r="F413">
        <v>57</v>
      </c>
      <c r="G413" t="s">
        <v>5016</v>
      </c>
      <c r="H413" t="s">
        <v>5021</v>
      </c>
      <c r="I413" t="s">
        <v>5025</v>
      </c>
      <c r="J413">
        <v>76991</v>
      </c>
      <c r="K413">
        <v>60</v>
      </c>
      <c r="L413" s="7">
        <v>44970</v>
      </c>
      <c r="M413" t="s">
        <v>5028</v>
      </c>
      <c r="N413">
        <v>7</v>
      </c>
      <c r="O413">
        <v>8295</v>
      </c>
    </row>
    <row r="414" spans="1:15" x14ac:dyDescent="0.3">
      <c r="A414" t="s">
        <v>96</v>
      </c>
      <c r="B414" t="s">
        <v>1096</v>
      </c>
      <c r="C414" t="s">
        <v>2096</v>
      </c>
      <c r="D414" t="s">
        <v>3096</v>
      </c>
      <c r="E414" t="s">
        <v>4096</v>
      </c>
      <c r="F414">
        <v>58</v>
      </c>
      <c r="G414" t="s">
        <v>5017</v>
      </c>
      <c r="H414" t="s">
        <v>5021</v>
      </c>
      <c r="I414" t="s">
        <v>5025</v>
      </c>
      <c r="J414">
        <v>77376</v>
      </c>
      <c r="K414">
        <v>46</v>
      </c>
      <c r="L414" s="7">
        <v>44988</v>
      </c>
      <c r="M414" t="s">
        <v>5029</v>
      </c>
      <c r="N414">
        <v>9</v>
      </c>
      <c r="O414">
        <v>3956</v>
      </c>
    </row>
    <row r="415" spans="1:15" x14ac:dyDescent="0.3">
      <c r="A415" t="s">
        <v>701</v>
      </c>
      <c r="B415" t="s">
        <v>1701</v>
      </c>
      <c r="C415" t="s">
        <v>2701</v>
      </c>
      <c r="D415" t="s">
        <v>3701</v>
      </c>
      <c r="E415" t="s">
        <v>4701</v>
      </c>
      <c r="F415">
        <v>62</v>
      </c>
      <c r="G415" t="s">
        <v>5017</v>
      </c>
      <c r="H415" t="s">
        <v>5018</v>
      </c>
      <c r="I415" t="s">
        <v>5027</v>
      </c>
      <c r="J415">
        <v>77376</v>
      </c>
      <c r="K415">
        <v>98</v>
      </c>
      <c r="L415" s="7">
        <v>45069</v>
      </c>
      <c r="M415" t="s">
        <v>5030</v>
      </c>
      <c r="N415">
        <v>2</v>
      </c>
      <c r="O415">
        <v>2528</v>
      </c>
    </row>
    <row r="416" spans="1:15" x14ac:dyDescent="0.3">
      <c r="A416" t="s">
        <v>544</v>
      </c>
      <c r="B416" t="s">
        <v>1544</v>
      </c>
      <c r="C416" t="s">
        <v>2544</v>
      </c>
      <c r="D416" t="s">
        <v>3544</v>
      </c>
      <c r="E416" t="s">
        <v>4544</v>
      </c>
      <c r="F416">
        <v>32</v>
      </c>
      <c r="G416" t="s">
        <v>5016</v>
      </c>
      <c r="H416" t="s">
        <v>5019</v>
      </c>
      <c r="I416" t="s">
        <v>5026</v>
      </c>
      <c r="J416">
        <v>77444</v>
      </c>
      <c r="K416">
        <v>58</v>
      </c>
      <c r="L416" s="7">
        <v>45201</v>
      </c>
      <c r="M416" t="s">
        <v>5030</v>
      </c>
      <c r="N416">
        <v>1</v>
      </c>
      <c r="O416">
        <v>9699</v>
      </c>
    </row>
    <row r="417" spans="1:15" x14ac:dyDescent="0.3">
      <c r="A417" t="s">
        <v>243</v>
      </c>
      <c r="B417" t="s">
        <v>1243</v>
      </c>
      <c r="C417" t="s">
        <v>2243</v>
      </c>
      <c r="D417" t="s">
        <v>3243</v>
      </c>
      <c r="E417" t="s">
        <v>4243</v>
      </c>
      <c r="F417">
        <v>48</v>
      </c>
      <c r="G417" t="s">
        <v>5015</v>
      </c>
      <c r="H417" t="s">
        <v>5021</v>
      </c>
      <c r="I417" t="s">
        <v>5026</v>
      </c>
      <c r="J417">
        <v>77544</v>
      </c>
      <c r="K417">
        <v>64</v>
      </c>
      <c r="L417" s="7">
        <v>45200</v>
      </c>
      <c r="M417" t="s">
        <v>5030</v>
      </c>
      <c r="N417">
        <v>2</v>
      </c>
      <c r="O417">
        <v>4920</v>
      </c>
    </row>
    <row r="418" spans="1:15" x14ac:dyDescent="0.3">
      <c r="A418" t="s">
        <v>473</v>
      </c>
      <c r="B418" t="s">
        <v>1473</v>
      </c>
      <c r="C418" t="s">
        <v>2473</v>
      </c>
      <c r="D418" t="s">
        <v>3473</v>
      </c>
      <c r="E418" t="s">
        <v>4473</v>
      </c>
      <c r="F418">
        <v>66</v>
      </c>
      <c r="G418" t="s">
        <v>5017</v>
      </c>
      <c r="H418" t="s">
        <v>5018</v>
      </c>
      <c r="I418" t="s">
        <v>5024</v>
      </c>
      <c r="J418">
        <v>77686</v>
      </c>
      <c r="K418">
        <v>38</v>
      </c>
      <c r="L418" s="7">
        <v>45082</v>
      </c>
      <c r="M418" t="s">
        <v>5030</v>
      </c>
      <c r="N418">
        <v>10</v>
      </c>
      <c r="O418">
        <v>4526</v>
      </c>
    </row>
    <row r="419" spans="1:15" x14ac:dyDescent="0.3">
      <c r="A419" t="s">
        <v>656</v>
      </c>
      <c r="B419" t="s">
        <v>1656</v>
      </c>
      <c r="C419" t="s">
        <v>2656</v>
      </c>
      <c r="D419" t="s">
        <v>3656</v>
      </c>
      <c r="E419" t="s">
        <v>4656</v>
      </c>
      <c r="F419">
        <v>36</v>
      </c>
      <c r="G419" t="s">
        <v>5017</v>
      </c>
      <c r="H419" t="s">
        <v>5022</v>
      </c>
      <c r="I419" t="s">
        <v>5024</v>
      </c>
      <c r="J419">
        <v>77744</v>
      </c>
      <c r="K419">
        <v>21</v>
      </c>
      <c r="L419" s="7">
        <v>45190</v>
      </c>
      <c r="M419" t="s">
        <v>5029</v>
      </c>
      <c r="N419">
        <v>3</v>
      </c>
      <c r="O419">
        <v>7385</v>
      </c>
    </row>
    <row r="420" spans="1:15" x14ac:dyDescent="0.3">
      <c r="A420" t="s">
        <v>354</v>
      </c>
      <c r="B420" t="s">
        <v>1354</v>
      </c>
      <c r="C420" t="s">
        <v>2354</v>
      </c>
      <c r="D420" t="s">
        <v>3354</v>
      </c>
      <c r="E420" t="s">
        <v>4354</v>
      </c>
      <c r="F420">
        <v>35</v>
      </c>
      <c r="G420" t="s">
        <v>5017</v>
      </c>
      <c r="H420" t="s">
        <v>5018</v>
      </c>
      <c r="I420" t="s">
        <v>5026</v>
      </c>
      <c r="J420">
        <v>77833</v>
      </c>
      <c r="K420">
        <v>76</v>
      </c>
      <c r="L420" s="7">
        <v>45012</v>
      </c>
      <c r="M420" t="s">
        <v>5028</v>
      </c>
      <c r="N420">
        <v>4</v>
      </c>
      <c r="O420">
        <v>2745</v>
      </c>
    </row>
    <row r="421" spans="1:15" x14ac:dyDescent="0.3">
      <c r="A421" t="s">
        <v>943</v>
      </c>
      <c r="B421" t="s">
        <v>1943</v>
      </c>
      <c r="C421" t="s">
        <v>2943</v>
      </c>
      <c r="D421" t="s">
        <v>3943</v>
      </c>
      <c r="E421" t="s">
        <v>4943</v>
      </c>
      <c r="F421">
        <v>57</v>
      </c>
      <c r="G421" t="s">
        <v>5016</v>
      </c>
      <c r="H421" t="s">
        <v>5021</v>
      </c>
      <c r="I421" t="s">
        <v>5025</v>
      </c>
      <c r="J421">
        <v>77877</v>
      </c>
      <c r="K421">
        <v>37</v>
      </c>
      <c r="L421" s="7">
        <v>45257</v>
      </c>
      <c r="M421" t="s">
        <v>5028</v>
      </c>
      <c r="N421">
        <v>8</v>
      </c>
      <c r="O421">
        <v>905</v>
      </c>
    </row>
    <row r="422" spans="1:15" x14ac:dyDescent="0.3">
      <c r="A422" t="s">
        <v>267</v>
      </c>
      <c r="B422" t="s">
        <v>1267</v>
      </c>
      <c r="C422" t="s">
        <v>2267</v>
      </c>
      <c r="D422" t="s">
        <v>3267</v>
      </c>
      <c r="E422" t="s">
        <v>4267</v>
      </c>
      <c r="F422">
        <v>50</v>
      </c>
      <c r="G422" t="s">
        <v>5017</v>
      </c>
      <c r="H422" t="s">
        <v>5018</v>
      </c>
      <c r="I422" t="s">
        <v>5027</v>
      </c>
      <c r="J422">
        <v>77924</v>
      </c>
      <c r="K422">
        <v>50</v>
      </c>
      <c r="L422" s="7">
        <v>45125</v>
      </c>
      <c r="M422" t="s">
        <v>5030</v>
      </c>
      <c r="N422">
        <v>3</v>
      </c>
      <c r="O422">
        <v>4969</v>
      </c>
    </row>
    <row r="423" spans="1:15" x14ac:dyDescent="0.3">
      <c r="A423" t="s">
        <v>748</v>
      </c>
      <c r="B423" t="s">
        <v>1748</v>
      </c>
      <c r="C423" t="s">
        <v>2748</v>
      </c>
      <c r="D423" t="s">
        <v>3748</v>
      </c>
      <c r="E423" t="s">
        <v>4748</v>
      </c>
      <c r="F423">
        <v>68</v>
      </c>
      <c r="G423" t="s">
        <v>5017</v>
      </c>
      <c r="H423" t="s">
        <v>5021</v>
      </c>
      <c r="I423" t="s">
        <v>5025</v>
      </c>
      <c r="J423">
        <v>78074</v>
      </c>
      <c r="K423">
        <v>27</v>
      </c>
      <c r="L423" s="7">
        <v>45076</v>
      </c>
      <c r="M423" t="s">
        <v>5029</v>
      </c>
      <c r="N423">
        <v>6</v>
      </c>
      <c r="O423">
        <v>5569</v>
      </c>
    </row>
    <row r="424" spans="1:15" x14ac:dyDescent="0.3">
      <c r="A424" t="s">
        <v>143</v>
      </c>
      <c r="B424" t="s">
        <v>1143</v>
      </c>
      <c r="C424" t="s">
        <v>2143</v>
      </c>
      <c r="D424" t="s">
        <v>3143</v>
      </c>
      <c r="E424" t="s">
        <v>4143</v>
      </c>
      <c r="F424">
        <v>37</v>
      </c>
      <c r="G424" t="s">
        <v>5017</v>
      </c>
      <c r="H424" t="s">
        <v>5018</v>
      </c>
      <c r="I424" t="s">
        <v>5026</v>
      </c>
      <c r="J424">
        <v>78296</v>
      </c>
      <c r="K424">
        <v>8</v>
      </c>
      <c r="L424" s="7">
        <v>45034</v>
      </c>
      <c r="M424" t="s">
        <v>5030</v>
      </c>
      <c r="N424">
        <v>6</v>
      </c>
      <c r="O424">
        <v>8617</v>
      </c>
    </row>
    <row r="425" spans="1:15" x14ac:dyDescent="0.3">
      <c r="A425" t="s">
        <v>666</v>
      </c>
      <c r="B425" t="s">
        <v>1666</v>
      </c>
      <c r="C425" t="s">
        <v>2666</v>
      </c>
      <c r="D425" t="s">
        <v>3666</v>
      </c>
      <c r="E425" t="s">
        <v>4666</v>
      </c>
      <c r="F425">
        <v>57</v>
      </c>
      <c r="G425" t="s">
        <v>5015</v>
      </c>
      <c r="H425" t="s">
        <v>5021</v>
      </c>
      <c r="I425" t="s">
        <v>5024</v>
      </c>
      <c r="J425">
        <v>78789</v>
      </c>
      <c r="K425">
        <v>23</v>
      </c>
      <c r="L425" s="7">
        <v>45201</v>
      </c>
      <c r="M425" t="s">
        <v>5028</v>
      </c>
      <c r="N425">
        <v>10</v>
      </c>
      <c r="O425">
        <v>7574</v>
      </c>
    </row>
    <row r="426" spans="1:15" x14ac:dyDescent="0.3">
      <c r="A426" t="s">
        <v>617</v>
      </c>
      <c r="B426" t="s">
        <v>1617</v>
      </c>
      <c r="C426" t="s">
        <v>2617</v>
      </c>
      <c r="D426" t="s">
        <v>3617</v>
      </c>
      <c r="E426" t="s">
        <v>4617</v>
      </c>
      <c r="F426">
        <v>50</v>
      </c>
      <c r="G426" t="s">
        <v>5017</v>
      </c>
      <c r="H426" t="s">
        <v>5019</v>
      </c>
      <c r="I426" t="s">
        <v>5024</v>
      </c>
      <c r="J426">
        <v>78825</v>
      </c>
      <c r="K426">
        <v>26</v>
      </c>
      <c r="L426" s="7">
        <v>45095</v>
      </c>
      <c r="M426" t="s">
        <v>5029</v>
      </c>
      <c r="N426">
        <v>10</v>
      </c>
      <c r="O426">
        <v>7567</v>
      </c>
    </row>
    <row r="427" spans="1:15" x14ac:dyDescent="0.3">
      <c r="A427" t="s">
        <v>422</v>
      </c>
      <c r="B427" t="s">
        <v>1422</v>
      </c>
      <c r="C427" t="s">
        <v>2422</v>
      </c>
      <c r="D427" t="s">
        <v>3422</v>
      </c>
      <c r="E427" t="s">
        <v>4422</v>
      </c>
      <c r="F427">
        <v>67</v>
      </c>
      <c r="G427" t="s">
        <v>5016</v>
      </c>
      <c r="H427" t="s">
        <v>5018</v>
      </c>
      <c r="I427" t="s">
        <v>5025</v>
      </c>
      <c r="J427">
        <v>78914</v>
      </c>
      <c r="K427">
        <v>0</v>
      </c>
      <c r="L427" s="7">
        <v>45136</v>
      </c>
      <c r="M427" t="s">
        <v>5028</v>
      </c>
      <c r="N427">
        <v>4</v>
      </c>
      <c r="O427">
        <v>6714</v>
      </c>
    </row>
    <row r="428" spans="1:15" x14ac:dyDescent="0.3">
      <c r="A428" t="s">
        <v>863</v>
      </c>
      <c r="B428" t="s">
        <v>1863</v>
      </c>
      <c r="C428" t="s">
        <v>2863</v>
      </c>
      <c r="D428" t="s">
        <v>3863</v>
      </c>
      <c r="E428" t="s">
        <v>4863</v>
      </c>
      <c r="F428">
        <v>29</v>
      </c>
      <c r="G428" t="s">
        <v>5015</v>
      </c>
      <c r="H428" t="s">
        <v>5021</v>
      </c>
      <c r="I428" t="s">
        <v>5027</v>
      </c>
      <c r="J428">
        <v>79125</v>
      </c>
      <c r="K428">
        <v>85</v>
      </c>
      <c r="L428" s="7">
        <v>45078</v>
      </c>
      <c r="M428" t="s">
        <v>5028</v>
      </c>
      <c r="N428">
        <v>2</v>
      </c>
      <c r="O428">
        <v>204</v>
      </c>
    </row>
    <row r="429" spans="1:15" x14ac:dyDescent="0.3">
      <c r="A429" t="s">
        <v>289</v>
      </c>
      <c r="B429" t="s">
        <v>1289</v>
      </c>
      <c r="C429" t="s">
        <v>2289</v>
      </c>
      <c r="D429" t="s">
        <v>3289</v>
      </c>
      <c r="E429" t="s">
        <v>4289</v>
      </c>
      <c r="F429">
        <v>65</v>
      </c>
      <c r="G429" t="s">
        <v>5016</v>
      </c>
      <c r="H429" t="s">
        <v>5022</v>
      </c>
      <c r="I429" t="s">
        <v>5026</v>
      </c>
      <c r="J429">
        <v>79176</v>
      </c>
      <c r="K429">
        <v>93</v>
      </c>
      <c r="L429" s="7">
        <v>44979</v>
      </c>
      <c r="M429" t="s">
        <v>5028</v>
      </c>
      <c r="N429">
        <v>3</v>
      </c>
      <c r="O429">
        <v>8399</v>
      </c>
    </row>
    <row r="430" spans="1:15" x14ac:dyDescent="0.3">
      <c r="A430" t="s">
        <v>410</v>
      </c>
      <c r="B430" t="s">
        <v>1410</v>
      </c>
      <c r="C430" t="s">
        <v>2410</v>
      </c>
      <c r="D430" t="s">
        <v>3410</v>
      </c>
      <c r="E430" t="s">
        <v>4410</v>
      </c>
      <c r="F430">
        <v>56</v>
      </c>
      <c r="G430" t="s">
        <v>5015</v>
      </c>
      <c r="H430" t="s">
        <v>5021</v>
      </c>
      <c r="I430" t="s">
        <v>5027</v>
      </c>
      <c r="J430">
        <v>79313</v>
      </c>
      <c r="K430">
        <v>47</v>
      </c>
      <c r="L430" s="7">
        <v>45092</v>
      </c>
      <c r="M430" t="s">
        <v>5028</v>
      </c>
      <c r="N430">
        <v>2</v>
      </c>
      <c r="O430">
        <v>5741</v>
      </c>
    </row>
    <row r="431" spans="1:15" x14ac:dyDescent="0.3">
      <c r="A431" t="s">
        <v>979</v>
      </c>
      <c r="B431" t="s">
        <v>1979</v>
      </c>
      <c r="C431" t="s">
        <v>2979</v>
      </c>
      <c r="D431" t="s">
        <v>3979</v>
      </c>
      <c r="E431" t="s">
        <v>4979</v>
      </c>
      <c r="F431">
        <v>62</v>
      </c>
      <c r="G431" t="s">
        <v>5016</v>
      </c>
      <c r="H431" t="s">
        <v>5021</v>
      </c>
      <c r="I431" t="s">
        <v>5027</v>
      </c>
      <c r="J431">
        <v>79351</v>
      </c>
      <c r="K431">
        <v>8</v>
      </c>
      <c r="L431" s="7">
        <v>44962</v>
      </c>
      <c r="M431" t="s">
        <v>5029</v>
      </c>
      <c r="N431">
        <v>1</v>
      </c>
      <c r="O431">
        <v>6854</v>
      </c>
    </row>
    <row r="432" spans="1:15" x14ac:dyDescent="0.3">
      <c r="A432" t="s">
        <v>779</v>
      </c>
      <c r="B432" t="s">
        <v>1779</v>
      </c>
      <c r="C432" t="s">
        <v>2779</v>
      </c>
      <c r="D432" t="s">
        <v>3779</v>
      </c>
      <c r="E432" t="s">
        <v>4779</v>
      </c>
      <c r="F432">
        <v>31</v>
      </c>
      <c r="G432" t="s">
        <v>5017</v>
      </c>
      <c r="H432" t="s">
        <v>5019</v>
      </c>
      <c r="I432" t="s">
        <v>5025</v>
      </c>
      <c r="J432">
        <v>79382</v>
      </c>
      <c r="K432">
        <v>14</v>
      </c>
      <c r="L432" s="7">
        <v>45086</v>
      </c>
      <c r="M432" t="s">
        <v>5030</v>
      </c>
      <c r="N432">
        <v>7</v>
      </c>
      <c r="O432">
        <v>4093</v>
      </c>
    </row>
    <row r="433" spans="1:15" x14ac:dyDescent="0.3">
      <c r="A433" t="s">
        <v>828</v>
      </c>
      <c r="B433" t="s">
        <v>1828</v>
      </c>
      <c r="C433" t="s">
        <v>2828</v>
      </c>
      <c r="D433" t="s">
        <v>3828</v>
      </c>
      <c r="E433" t="s">
        <v>4828</v>
      </c>
      <c r="F433">
        <v>43</v>
      </c>
      <c r="G433" t="s">
        <v>5016</v>
      </c>
      <c r="H433" t="s">
        <v>5018</v>
      </c>
      <c r="I433" t="s">
        <v>5024</v>
      </c>
      <c r="J433">
        <v>79609</v>
      </c>
      <c r="K433">
        <v>6</v>
      </c>
      <c r="L433" s="7">
        <v>44930</v>
      </c>
      <c r="M433" t="s">
        <v>5028</v>
      </c>
      <c r="N433">
        <v>2</v>
      </c>
      <c r="O433">
        <v>6720</v>
      </c>
    </row>
    <row r="434" spans="1:15" x14ac:dyDescent="0.3">
      <c r="A434" t="s">
        <v>463</v>
      </c>
      <c r="B434" t="s">
        <v>1463</v>
      </c>
      <c r="C434" t="s">
        <v>2463</v>
      </c>
      <c r="D434" t="s">
        <v>3463</v>
      </c>
      <c r="E434" t="s">
        <v>4463</v>
      </c>
      <c r="F434">
        <v>47</v>
      </c>
      <c r="G434" t="s">
        <v>5015</v>
      </c>
      <c r="H434" t="s">
        <v>5021</v>
      </c>
      <c r="I434" t="s">
        <v>5026</v>
      </c>
      <c r="J434">
        <v>79670</v>
      </c>
      <c r="K434">
        <v>81</v>
      </c>
      <c r="L434" s="7">
        <v>45009</v>
      </c>
      <c r="M434" t="s">
        <v>5029</v>
      </c>
      <c r="N434">
        <v>6</v>
      </c>
      <c r="O434">
        <v>531</v>
      </c>
    </row>
    <row r="435" spans="1:15" x14ac:dyDescent="0.3">
      <c r="A435" t="s">
        <v>731</v>
      </c>
      <c r="B435" t="s">
        <v>1731</v>
      </c>
      <c r="C435" t="s">
        <v>2731</v>
      </c>
      <c r="D435" t="s">
        <v>3731</v>
      </c>
      <c r="E435" t="s">
        <v>4731</v>
      </c>
      <c r="F435">
        <v>59</v>
      </c>
      <c r="G435" t="s">
        <v>5017</v>
      </c>
      <c r="H435" t="s">
        <v>5019</v>
      </c>
      <c r="I435" t="s">
        <v>5027</v>
      </c>
      <c r="J435">
        <v>79720</v>
      </c>
      <c r="K435">
        <v>71</v>
      </c>
      <c r="L435" s="7">
        <v>45285</v>
      </c>
      <c r="M435" t="s">
        <v>5029</v>
      </c>
      <c r="N435">
        <v>6</v>
      </c>
      <c r="O435">
        <v>8623</v>
      </c>
    </row>
    <row r="436" spans="1:15" x14ac:dyDescent="0.3">
      <c r="A436" t="s">
        <v>742</v>
      </c>
      <c r="B436" t="s">
        <v>1742</v>
      </c>
      <c r="C436" t="s">
        <v>2742</v>
      </c>
      <c r="D436" t="s">
        <v>3742</v>
      </c>
      <c r="E436" t="s">
        <v>4742</v>
      </c>
      <c r="F436">
        <v>34</v>
      </c>
      <c r="G436" t="s">
        <v>5016</v>
      </c>
      <c r="H436" t="s">
        <v>5018</v>
      </c>
      <c r="I436" t="s">
        <v>5025</v>
      </c>
      <c r="J436">
        <v>79739</v>
      </c>
      <c r="K436">
        <v>32</v>
      </c>
      <c r="L436" s="7">
        <v>45128</v>
      </c>
      <c r="M436" t="s">
        <v>5028</v>
      </c>
      <c r="N436">
        <v>6</v>
      </c>
      <c r="O436">
        <v>2054</v>
      </c>
    </row>
    <row r="437" spans="1:15" x14ac:dyDescent="0.3">
      <c r="A437" t="s">
        <v>134</v>
      </c>
      <c r="B437" t="s">
        <v>1134</v>
      </c>
      <c r="C437" t="s">
        <v>2134</v>
      </c>
      <c r="D437" t="s">
        <v>3134</v>
      </c>
      <c r="E437" t="s">
        <v>4134</v>
      </c>
      <c r="F437">
        <v>67</v>
      </c>
      <c r="G437" t="s">
        <v>5015</v>
      </c>
      <c r="H437" t="s">
        <v>5022</v>
      </c>
      <c r="I437" t="s">
        <v>5026</v>
      </c>
      <c r="J437">
        <v>79780</v>
      </c>
      <c r="K437">
        <v>39</v>
      </c>
      <c r="L437" s="7">
        <v>45193</v>
      </c>
      <c r="M437" t="s">
        <v>5030</v>
      </c>
      <c r="N437">
        <v>10</v>
      </c>
      <c r="O437">
        <v>2575</v>
      </c>
    </row>
    <row r="438" spans="1:15" x14ac:dyDescent="0.3">
      <c r="A438" t="s">
        <v>554</v>
      </c>
      <c r="B438" t="s">
        <v>1554</v>
      </c>
      <c r="C438" t="s">
        <v>2554</v>
      </c>
      <c r="D438" t="s">
        <v>3554</v>
      </c>
      <c r="E438" t="s">
        <v>4554</v>
      </c>
      <c r="F438">
        <v>65</v>
      </c>
      <c r="G438" t="s">
        <v>5015</v>
      </c>
      <c r="H438" t="s">
        <v>5019</v>
      </c>
      <c r="I438" t="s">
        <v>5026</v>
      </c>
      <c r="J438">
        <v>79842</v>
      </c>
      <c r="K438">
        <v>87</v>
      </c>
      <c r="L438" s="7">
        <v>44942</v>
      </c>
      <c r="M438" t="s">
        <v>5028</v>
      </c>
      <c r="N438">
        <v>8</v>
      </c>
      <c r="O438">
        <v>1194</v>
      </c>
    </row>
    <row r="439" spans="1:15" x14ac:dyDescent="0.3">
      <c r="A439" t="s">
        <v>542</v>
      </c>
      <c r="B439" t="s">
        <v>1542</v>
      </c>
      <c r="C439" t="s">
        <v>2542</v>
      </c>
      <c r="D439" t="s">
        <v>3542</v>
      </c>
      <c r="E439" t="s">
        <v>4542</v>
      </c>
      <c r="F439">
        <v>39</v>
      </c>
      <c r="G439" t="s">
        <v>5016</v>
      </c>
      <c r="H439" t="s">
        <v>5018</v>
      </c>
      <c r="I439" t="s">
        <v>5025</v>
      </c>
      <c r="J439">
        <v>80140</v>
      </c>
      <c r="K439">
        <v>9</v>
      </c>
      <c r="L439" s="7">
        <v>44937</v>
      </c>
      <c r="M439" t="s">
        <v>5029</v>
      </c>
      <c r="N439">
        <v>2</v>
      </c>
      <c r="O439">
        <v>4187</v>
      </c>
    </row>
    <row r="440" spans="1:15" x14ac:dyDescent="0.3">
      <c r="A440" t="s">
        <v>954</v>
      </c>
      <c r="B440" t="s">
        <v>1954</v>
      </c>
      <c r="C440" t="s">
        <v>2954</v>
      </c>
      <c r="D440" t="s">
        <v>3954</v>
      </c>
      <c r="E440" t="s">
        <v>4954</v>
      </c>
      <c r="F440">
        <v>34</v>
      </c>
      <c r="G440" t="s">
        <v>5017</v>
      </c>
      <c r="H440" t="s">
        <v>5020</v>
      </c>
      <c r="I440" t="s">
        <v>5024</v>
      </c>
      <c r="J440">
        <v>80150</v>
      </c>
      <c r="K440">
        <v>75</v>
      </c>
      <c r="L440" s="7">
        <v>45085</v>
      </c>
      <c r="M440" t="s">
        <v>5029</v>
      </c>
      <c r="N440">
        <v>4</v>
      </c>
      <c r="O440">
        <v>2913</v>
      </c>
    </row>
    <row r="441" spans="1:15" x14ac:dyDescent="0.3">
      <c r="A441" t="s">
        <v>512</v>
      </c>
      <c r="B441" t="s">
        <v>1512</v>
      </c>
      <c r="C441" t="s">
        <v>2512</v>
      </c>
      <c r="D441" t="s">
        <v>3512</v>
      </c>
      <c r="E441" t="s">
        <v>4512</v>
      </c>
      <c r="F441">
        <v>45</v>
      </c>
      <c r="G441" t="s">
        <v>5015</v>
      </c>
      <c r="H441" t="s">
        <v>5022</v>
      </c>
      <c r="I441" t="s">
        <v>5026</v>
      </c>
      <c r="J441">
        <v>80250</v>
      </c>
      <c r="K441">
        <v>99</v>
      </c>
      <c r="L441" s="7">
        <v>45118</v>
      </c>
      <c r="M441" t="s">
        <v>5029</v>
      </c>
      <c r="N441">
        <v>9</v>
      </c>
      <c r="O441">
        <v>7186</v>
      </c>
    </row>
    <row r="442" spans="1:15" x14ac:dyDescent="0.3">
      <c r="A442" t="s">
        <v>813</v>
      </c>
      <c r="B442" t="s">
        <v>1813</v>
      </c>
      <c r="C442" t="s">
        <v>2813</v>
      </c>
      <c r="D442" t="s">
        <v>3813</v>
      </c>
      <c r="E442" t="s">
        <v>4813</v>
      </c>
      <c r="F442">
        <v>56</v>
      </c>
      <c r="G442" t="s">
        <v>5015</v>
      </c>
      <c r="H442" t="s">
        <v>5018</v>
      </c>
      <c r="I442" t="s">
        <v>5025</v>
      </c>
      <c r="J442">
        <v>80277</v>
      </c>
      <c r="K442">
        <v>64</v>
      </c>
      <c r="L442" s="7">
        <v>44977</v>
      </c>
      <c r="M442" t="s">
        <v>5029</v>
      </c>
      <c r="N442">
        <v>5</v>
      </c>
      <c r="O442">
        <v>2218</v>
      </c>
    </row>
    <row r="443" spans="1:15" x14ac:dyDescent="0.3">
      <c r="A443" t="s">
        <v>683</v>
      </c>
      <c r="B443" t="s">
        <v>1683</v>
      </c>
      <c r="C443" t="s">
        <v>2683</v>
      </c>
      <c r="D443" t="s">
        <v>3683</v>
      </c>
      <c r="E443" t="s">
        <v>4683</v>
      </c>
      <c r="F443">
        <v>27</v>
      </c>
      <c r="G443" t="s">
        <v>5015</v>
      </c>
      <c r="H443" t="s">
        <v>5022</v>
      </c>
      <c r="I443" t="s">
        <v>5026</v>
      </c>
      <c r="J443">
        <v>80360</v>
      </c>
      <c r="K443">
        <v>71</v>
      </c>
      <c r="L443" s="7">
        <v>45218</v>
      </c>
      <c r="M443" t="s">
        <v>5028</v>
      </c>
      <c r="N443">
        <v>4</v>
      </c>
      <c r="O443">
        <v>1791</v>
      </c>
    </row>
    <row r="444" spans="1:15" x14ac:dyDescent="0.3">
      <c r="A444" t="s">
        <v>238</v>
      </c>
      <c r="B444" t="s">
        <v>1238</v>
      </c>
      <c r="C444" t="s">
        <v>2238</v>
      </c>
      <c r="D444" t="s">
        <v>3238</v>
      </c>
      <c r="E444" t="s">
        <v>4238</v>
      </c>
      <c r="F444">
        <v>30</v>
      </c>
      <c r="G444" t="s">
        <v>5017</v>
      </c>
      <c r="H444" t="s">
        <v>5020</v>
      </c>
      <c r="I444" t="s">
        <v>5023</v>
      </c>
      <c r="J444">
        <v>80449</v>
      </c>
      <c r="K444">
        <v>56</v>
      </c>
      <c r="L444" s="7">
        <v>45149</v>
      </c>
      <c r="M444" t="s">
        <v>5028</v>
      </c>
      <c r="N444">
        <v>1</v>
      </c>
      <c r="O444">
        <v>6217</v>
      </c>
    </row>
    <row r="445" spans="1:15" x14ac:dyDescent="0.3">
      <c r="A445" t="s">
        <v>772</v>
      </c>
      <c r="B445" t="s">
        <v>1772</v>
      </c>
      <c r="C445" t="s">
        <v>2772</v>
      </c>
      <c r="D445" t="s">
        <v>3772</v>
      </c>
      <c r="E445" t="s">
        <v>4772</v>
      </c>
      <c r="F445">
        <v>60</v>
      </c>
      <c r="G445" t="s">
        <v>5016</v>
      </c>
      <c r="H445" t="s">
        <v>5020</v>
      </c>
      <c r="I445" t="s">
        <v>5023</v>
      </c>
      <c r="J445">
        <v>80793</v>
      </c>
      <c r="K445">
        <v>35</v>
      </c>
      <c r="L445" s="7">
        <v>45206</v>
      </c>
      <c r="M445" t="s">
        <v>5029</v>
      </c>
      <c r="N445">
        <v>8</v>
      </c>
      <c r="O445">
        <v>9500</v>
      </c>
    </row>
    <row r="446" spans="1:15" x14ac:dyDescent="0.3">
      <c r="A446" t="s">
        <v>877</v>
      </c>
      <c r="B446" t="s">
        <v>1877</v>
      </c>
      <c r="C446" t="s">
        <v>2877</v>
      </c>
      <c r="D446" t="s">
        <v>3877</v>
      </c>
      <c r="E446" t="s">
        <v>4877</v>
      </c>
      <c r="F446">
        <v>23</v>
      </c>
      <c r="G446" t="s">
        <v>5015</v>
      </c>
      <c r="H446" t="s">
        <v>5022</v>
      </c>
      <c r="I446" t="s">
        <v>5026</v>
      </c>
      <c r="J446">
        <v>80827</v>
      </c>
      <c r="K446">
        <v>92</v>
      </c>
      <c r="L446" s="7">
        <v>45158</v>
      </c>
      <c r="M446" t="s">
        <v>5029</v>
      </c>
      <c r="N446">
        <v>4</v>
      </c>
      <c r="O446">
        <v>1915</v>
      </c>
    </row>
    <row r="447" spans="1:15" x14ac:dyDescent="0.3">
      <c r="A447" t="s">
        <v>678</v>
      </c>
      <c r="B447" t="s">
        <v>1678</v>
      </c>
      <c r="C447" t="s">
        <v>2678</v>
      </c>
      <c r="D447" t="s">
        <v>3678</v>
      </c>
      <c r="E447" t="s">
        <v>4678</v>
      </c>
      <c r="F447">
        <v>43</v>
      </c>
      <c r="G447" t="s">
        <v>5015</v>
      </c>
      <c r="H447" t="s">
        <v>5018</v>
      </c>
      <c r="I447" t="s">
        <v>5023</v>
      </c>
      <c r="J447">
        <v>80997</v>
      </c>
      <c r="K447">
        <v>98</v>
      </c>
      <c r="L447" s="7">
        <v>45020</v>
      </c>
      <c r="M447" t="s">
        <v>5029</v>
      </c>
      <c r="N447">
        <v>5</v>
      </c>
      <c r="O447">
        <v>1693</v>
      </c>
    </row>
    <row r="448" spans="1:15" x14ac:dyDescent="0.3">
      <c r="A448" t="s">
        <v>739</v>
      </c>
      <c r="B448" t="s">
        <v>1739</v>
      </c>
      <c r="C448" t="s">
        <v>2739</v>
      </c>
      <c r="D448" t="s">
        <v>3739</v>
      </c>
      <c r="E448" t="s">
        <v>4739</v>
      </c>
      <c r="F448">
        <v>41</v>
      </c>
      <c r="G448" t="s">
        <v>5016</v>
      </c>
      <c r="H448" t="s">
        <v>5018</v>
      </c>
      <c r="I448" t="s">
        <v>5027</v>
      </c>
      <c r="J448">
        <v>80997</v>
      </c>
      <c r="K448">
        <v>53</v>
      </c>
      <c r="L448" s="7">
        <v>45030</v>
      </c>
      <c r="M448" t="s">
        <v>5028</v>
      </c>
      <c r="N448">
        <v>7</v>
      </c>
      <c r="O448">
        <v>9782</v>
      </c>
    </row>
    <row r="449" spans="1:15" x14ac:dyDescent="0.3">
      <c r="A449" t="s">
        <v>313</v>
      </c>
      <c r="B449" t="s">
        <v>1313</v>
      </c>
      <c r="C449" t="s">
        <v>2313</v>
      </c>
      <c r="D449" t="s">
        <v>3313</v>
      </c>
      <c r="E449" t="s">
        <v>4313</v>
      </c>
      <c r="F449">
        <v>22</v>
      </c>
      <c r="G449" t="s">
        <v>5016</v>
      </c>
      <c r="H449" t="s">
        <v>5018</v>
      </c>
      <c r="I449" t="s">
        <v>5027</v>
      </c>
      <c r="J449">
        <v>81027</v>
      </c>
      <c r="K449">
        <v>60</v>
      </c>
      <c r="L449" s="7">
        <v>44964</v>
      </c>
      <c r="M449" t="s">
        <v>5028</v>
      </c>
      <c r="N449">
        <v>1</v>
      </c>
      <c r="O449">
        <v>3993</v>
      </c>
    </row>
    <row r="450" spans="1:15" x14ac:dyDescent="0.3">
      <c r="A450" t="s">
        <v>173</v>
      </c>
      <c r="B450" t="s">
        <v>1173</v>
      </c>
      <c r="C450" t="s">
        <v>2173</v>
      </c>
      <c r="D450" t="s">
        <v>3173</v>
      </c>
      <c r="E450" t="s">
        <v>4173</v>
      </c>
      <c r="F450">
        <v>68</v>
      </c>
      <c r="G450" t="s">
        <v>5016</v>
      </c>
      <c r="H450" t="s">
        <v>5018</v>
      </c>
      <c r="I450" t="s">
        <v>5026</v>
      </c>
      <c r="J450">
        <v>81087</v>
      </c>
      <c r="K450">
        <v>62</v>
      </c>
      <c r="L450" s="7">
        <v>45088</v>
      </c>
      <c r="M450" t="s">
        <v>5028</v>
      </c>
      <c r="N450">
        <v>1</v>
      </c>
      <c r="O450">
        <v>5558</v>
      </c>
    </row>
    <row r="451" spans="1:15" x14ac:dyDescent="0.3">
      <c r="A451" t="s">
        <v>876</v>
      </c>
      <c r="B451" t="s">
        <v>1876</v>
      </c>
      <c r="C451" t="s">
        <v>2876</v>
      </c>
      <c r="D451" t="s">
        <v>3876</v>
      </c>
      <c r="E451" t="s">
        <v>4876</v>
      </c>
      <c r="F451">
        <v>61</v>
      </c>
      <c r="G451" t="s">
        <v>5016</v>
      </c>
      <c r="H451" t="s">
        <v>5018</v>
      </c>
      <c r="I451" t="s">
        <v>5023</v>
      </c>
      <c r="J451">
        <v>81164</v>
      </c>
      <c r="K451">
        <v>22</v>
      </c>
      <c r="L451" s="7">
        <v>45058</v>
      </c>
      <c r="M451" t="s">
        <v>5030</v>
      </c>
      <c r="N451">
        <v>6</v>
      </c>
      <c r="O451">
        <v>1273</v>
      </c>
    </row>
    <row r="452" spans="1:15" x14ac:dyDescent="0.3">
      <c r="A452" t="s">
        <v>454</v>
      </c>
      <c r="B452" t="s">
        <v>1454</v>
      </c>
      <c r="C452" t="s">
        <v>2454</v>
      </c>
      <c r="D452" t="s">
        <v>3454</v>
      </c>
      <c r="E452" t="s">
        <v>4454</v>
      </c>
      <c r="F452">
        <v>19</v>
      </c>
      <c r="G452" t="s">
        <v>5015</v>
      </c>
      <c r="H452" t="s">
        <v>5021</v>
      </c>
      <c r="I452" t="s">
        <v>5025</v>
      </c>
      <c r="J452">
        <v>81315</v>
      </c>
      <c r="K452">
        <v>29</v>
      </c>
      <c r="L452" s="7">
        <v>45248</v>
      </c>
      <c r="M452" t="s">
        <v>5028</v>
      </c>
      <c r="N452">
        <v>1</v>
      </c>
      <c r="O452">
        <v>1670</v>
      </c>
    </row>
    <row r="453" spans="1:15" x14ac:dyDescent="0.3">
      <c r="A453" t="s">
        <v>30</v>
      </c>
      <c r="B453" t="s">
        <v>1030</v>
      </c>
      <c r="C453" t="s">
        <v>2030</v>
      </c>
      <c r="D453" t="s">
        <v>3030</v>
      </c>
      <c r="E453" t="s">
        <v>4030</v>
      </c>
      <c r="F453">
        <v>64</v>
      </c>
      <c r="G453" t="s">
        <v>5017</v>
      </c>
      <c r="H453" t="s">
        <v>5020</v>
      </c>
      <c r="I453" t="s">
        <v>5026</v>
      </c>
      <c r="J453">
        <v>81339</v>
      </c>
      <c r="K453">
        <v>10</v>
      </c>
      <c r="L453" s="7">
        <v>44982</v>
      </c>
      <c r="M453" t="s">
        <v>5028</v>
      </c>
      <c r="N453">
        <v>5</v>
      </c>
      <c r="O453">
        <v>747</v>
      </c>
    </row>
    <row r="454" spans="1:15" x14ac:dyDescent="0.3">
      <c r="A454" t="s">
        <v>47</v>
      </c>
      <c r="B454" t="s">
        <v>1047</v>
      </c>
      <c r="C454" t="s">
        <v>2047</v>
      </c>
      <c r="D454" t="s">
        <v>3047</v>
      </c>
      <c r="E454" t="s">
        <v>4047</v>
      </c>
      <c r="F454">
        <v>32</v>
      </c>
      <c r="G454" t="s">
        <v>5016</v>
      </c>
      <c r="H454" t="s">
        <v>5021</v>
      </c>
      <c r="I454" t="s">
        <v>5026</v>
      </c>
      <c r="J454">
        <v>81358</v>
      </c>
      <c r="K454">
        <v>4</v>
      </c>
      <c r="L454" s="7">
        <v>45200</v>
      </c>
      <c r="M454" t="s">
        <v>5028</v>
      </c>
      <c r="N454">
        <v>4</v>
      </c>
      <c r="O454">
        <v>3767</v>
      </c>
    </row>
    <row r="455" spans="1:15" x14ac:dyDescent="0.3">
      <c r="A455" t="s">
        <v>511</v>
      </c>
      <c r="B455" t="s">
        <v>1511</v>
      </c>
      <c r="C455" t="s">
        <v>2511</v>
      </c>
      <c r="D455" t="s">
        <v>3511</v>
      </c>
      <c r="E455" t="s">
        <v>4511</v>
      </c>
      <c r="F455">
        <v>47</v>
      </c>
      <c r="G455" t="s">
        <v>5015</v>
      </c>
      <c r="H455" t="s">
        <v>5022</v>
      </c>
      <c r="I455" t="s">
        <v>5023</v>
      </c>
      <c r="J455">
        <v>81370</v>
      </c>
      <c r="K455">
        <v>62</v>
      </c>
      <c r="L455" s="7">
        <v>45045</v>
      </c>
      <c r="M455" t="s">
        <v>5028</v>
      </c>
      <c r="N455">
        <v>3</v>
      </c>
      <c r="O455">
        <v>7996</v>
      </c>
    </row>
    <row r="456" spans="1:15" x14ac:dyDescent="0.3">
      <c r="A456" t="s">
        <v>735</v>
      </c>
      <c r="B456" t="s">
        <v>1735</v>
      </c>
      <c r="C456" t="s">
        <v>2735</v>
      </c>
      <c r="D456" t="s">
        <v>3735</v>
      </c>
      <c r="E456" t="s">
        <v>4735</v>
      </c>
      <c r="F456">
        <v>24</v>
      </c>
      <c r="G456" t="s">
        <v>5017</v>
      </c>
      <c r="H456" t="s">
        <v>5020</v>
      </c>
      <c r="I456" t="s">
        <v>5023</v>
      </c>
      <c r="J456">
        <v>81376</v>
      </c>
      <c r="K456">
        <v>57</v>
      </c>
      <c r="L456" s="7">
        <v>44949</v>
      </c>
      <c r="M456" t="s">
        <v>5028</v>
      </c>
      <c r="N456">
        <v>5</v>
      </c>
      <c r="O456">
        <v>8039</v>
      </c>
    </row>
    <row r="457" spans="1:15" x14ac:dyDescent="0.3">
      <c r="A457" t="s">
        <v>123</v>
      </c>
      <c r="B457" t="s">
        <v>1123</v>
      </c>
      <c r="C457" t="s">
        <v>2123</v>
      </c>
      <c r="D457" t="s">
        <v>3123</v>
      </c>
      <c r="E457" t="s">
        <v>4123</v>
      </c>
      <c r="F457">
        <v>24</v>
      </c>
      <c r="G457" t="s">
        <v>5017</v>
      </c>
      <c r="H457" t="s">
        <v>5022</v>
      </c>
      <c r="I457" t="s">
        <v>5024</v>
      </c>
      <c r="J457">
        <v>81582</v>
      </c>
      <c r="K457">
        <v>12</v>
      </c>
      <c r="L457" s="7">
        <v>45059</v>
      </c>
      <c r="M457" t="s">
        <v>5029</v>
      </c>
      <c r="N457">
        <v>8</v>
      </c>
      <c r="O457">
        <v>308</v>
      </c>
    </row>
    <row r="458" spans="1:15" x14ac:dyDescent="0.3">
      <c r="A458" t="s">
        <v>98</v>
      </c>
      <c r="B458" t="s">
        <v>1098</v>
      </c>
      <c r="C458" t="s">
        <v>2098</v>
      </c>
      <c r="D458" t="s">
        <v>3098</v>
      </c>
      <c r="E458" t="s">
        <v>4098</v>
      </c>
      <c r="F458">
        <v>48</v>
      </c>
      <c r="G458" t="s">
        <v>5016</v>
      </c>
      <c r="H458" t="s">
        <v>5019</v>
      </c>
      <c r="I458" t="s">
        <v>5026</v>
      </c>
      <c r="J458">
        <v>81682</v>
      </c>
      <c r="K458">
        <v>72</v>
      </c>
      <c r="L458" s="7">
        <v>44978</v>
      </c>
      <c r="M458" t="s">
        <v>5029</v>
      </c>
      <c r="N458">
        <v>3</v>
      </c>
      <c r="O458">
        <v>993</v>
      </c>
    </row>
    <row r="459" spans="1:15" x14ac:dyDescent="0.3">
      <c r="A459" t="s">
        <v>492</v>
      </c>
      <c r="B459" t="s">
        <v>1492</v>
      </c>
      <c r="C459" t="s">
        <v>2492</v>
      </c>
      <c r="D459" t="s">
        <v>3492</v>
      </c>
      <c r="E459" t="s">
        <v>4492</v>
      </c>
      <c r="F459">
        <v>68</v>
      </c>
      <c r="G459" t="s">
        <v>5017</v>
      </c>
      <c r="H459" t="s">
        <v>5022</v>
      </c>
      <c r="I459" t="s">
        <v>5026</v>
      </c>
      <c r="J459">
        <v>81702</v>
      </c>
      <c r="K459">
        <v>40</v>
      </c>
      <c r="L459" s="7">
        <v>45185</v>
      </c>
      <c r="M459" t="s">
        <v>5030</v>
      </c>
      <c r="N459">
        <v>5</v>
      </c>
      <c r="O459">
        <v>8017</v>
      </c>
    </row>
    <row r="460" spans="1:15" x14ac:dyDescent="0.3">
      <c r="A460" t="s">
        <v>612</v>
      </c>
      <c r="B460" t="s">
        <v>1612</v>
      </c>
      <c r="C460" t="s">
        <v>2612</v>
      </c>
      <c r="D460" t="s">
        <v>3612</v>
      </c>
      <c r="E460" t="s">
        <v>4612</v>
      </c>
      <c r="F460">
        <v>18</v>
      </c>
      <c r="G460" t="s">
        <v>5017</v>
      </c>
      <c r="H460" t="s">
        <v>5018</v>
      </c>
      <c r="I460" t="s">
        <v>5023</v>
      </c>
      <c r="J460">
        <v>81784</v>
      </c>
      <c r="K460">
        <v>26</v>
      </c>
      <c r="L460" s="7">
        <v>45056</v>
      </c>
      <c r="M460" t="s">
        <v>5029</v>
      </c>
      <c r="N460">
        <v>1</v>
      </c>
      <c r="O460">
        <v>8375</v>
      </c>
    </row>
    <row r="461" spans="1:15" x14ac:dyDescent="0.3">
      <c r="A461" t="s">
        <v>504</v>
      </c>
      <c r="B461" t="s">
        <v>1504</v>
      </c>
      <c r="C461" t="s">
        <v>2504</v>
      </c>
      <c r="D461" t="s">
        <v>3504</v>
      </c>
      <c r="E461" t="s">
        <v>4504</v>
      </c>
      <c r="F461">
        <v>23</v>
      </c>
      <c r="G461" t="s">
        <v>5016</v>
      </c>
      <c r="H461" t="s">
        <v>5019</v>
      </c>
      <c r="I461" t="s">
        <v>5025</v>
      </c>
      <c r="J461">
        <v>81859</v>
      </c>
      <c r="K461">
        <v>97</v>
      </c>
      <c r="L461" s="7">
        <v>45236</v>
      </c>
      <c r="M461" t="s">
        <v>5028</v>
      </c>
      <c r="N461">
        <v>2</v>
      </c>
      <c r="O461">
        <v>1509</v>
      </c>
    </row>
    <row r="462" spans="1:15" x14ac:dyDescent="0.3">
      <c r="A462" t="s">
        <v>971</v>
      </c>
      <c r="B462" t="s">
        <v>1971</v>
      </c>
      <c r="C462" t="s">
        <v>2971</v>
      </c>
      <c r="D462" t="s">
        <v>3971</v>
      </c>
      <c r="E462" t="s">
        <v>4971</v>
      </c>
      <c r="F462">
        <v>53</v>
      </c>
      <c r="G462" t="s">
        <v>5017</v>
      </c>
      <c r="H462" t="s">
        <v>5019</v>
      </c>
      <c r="I462" t="s">
        <v>5024</v>
      </c>
      <c r="J462">
        <v>81962</v>
      </c>
      <c r="K462">
        <v>37</v>
      </c>
      <c r="L462" s="7">
        <v>44931</v>
      </c>
      <c r="M462" t="s">
        <v>5028</v>
      </c>
      <c r="N462">
        <v>3</v>
      </c>
      <c r="O462">
        <v>1783</v>
      </c>
    </row>
    <row r="463" spans="1:15" x14ac:dyDescent="0.3">
      <c r="A463" t="s">
        <v>202</v>
      </c>
      <c r="B463" t="s">
        <v>1202</v>
      </c>
      <c r="C463" t="s">
        <v>2202</v>
      </c>
      <c r="D463" t="s">
        <v>3202</v>
      </c>
      <c r="E463" t="s">
        <v>4202</v>
      </c>
      <c r="F463">
        <v>20</v>
      </c>
      <c r="G463" t="s">
        <v>5015</v>
      </c>
      <c r="H463" t="s">
        <v>5019</v>
      </c>
      <c r="I463" t="s">
        <v>5026</v>
      </c>
      <c r="J463">
        <v>82071</v>
      </c>
      <c r="K463">
        <v>24</v>
      </c>
      <c r="L463" s="7">
        <v>45039</v>
      </c>
      <c r="M463" t="s">
        <v>5028</v>
      </c>
      <c r="N463">
        <v>10</v>
      </c>
      <c r="O463">
        <v>7419</v>
      </c>
    </row>
    <row r="464" spans="1:15" x14ac:dyDescent="0.3">
      <c r="A464" t="s">
        <v>570</v>
      </c>
      <c r="B464" t="s">
        <v>1570</v>
      </c>
      <c r="C464" t="s">
        <v>2570</v>
      </c>
      <c r="D464" t="s">
        <v>3570</v>
      </c>
      <c r="E464" t="s">
        <v>4570</v>
      </c>
      <c r="F464">
        <v>63</v>
      </c>
      <c r="G464" t="s">
        <v>5016</v>
      </c>
      <c r="H464" t="s">
        <v>5018</v>
      </c>
      <c r="I464" t="s">
        <v>5026</v>
      </c>
      <c r="J464">
        <v>82185</v>
      </c>
      <c r="K464">
        <v>47</v>
      </c>
      <c r="L464" s="7">
        <v>44938</v>
      </c>
      <c r="M464" t="s">
        <v>5030</v>
      </c>
      <c r="N464">
        <v>9</v>
      </c>
      <c r="O464">
        <v>3710</v>
      </c>
    </row>
    <row r="465" spans="1:15" x14ac:dyDescent="0.3">
      <c r="A465" t="s">
        <v>192</v>
      </c>
      <c r="B465" t="s">
        <v>1192</v>
      </c>
      <c r="C465" t="s">
        <v>2192</v>
      </c>
      <c r="D465" t="s">
        <v>3192</v>
      </c>
      <c r="E465" t="s">
        <v>4192</v>
      </c>
      <c r="F465">
        <v>29</v>
      </c>
      <c r="G465" t="s">
        <v>5017</v>
      </c>
      <c r="H465" t="s">
        <v>5018</v>
      </c>
      <c r="I465" t="s">
        <v>5023</v>
      </c>
      <c r="J465">
        <v>82188</v>
      </c>
      <c r="K465">
        <v>77</v>
      </c>
      <c r="L465" s="7">
        <v>45197</v>
      </c>
      <c r="M465" t="s">
        <v>5029</v>
      </c>
      <c r="N465">
        <v>3</v>
      </c>
      <c r="O465">
        <v>6124</v>
      </c>
    </row>
    <row r="466" spans="1:15" x14ac:dyDescent="0.3">
      <c r="A466" t="s">
        <v>81</v>
      </c>
      <c r="B466" t="s">
        <v>1081</v>
      </c>
      <c r="C466" t="s">
        <v>2081</v>
      </c>
      <c r="D466" t="s">
        <v>3081</v>
      </c>
      <c r="E466" t="s">
        <v>4081</v>
      </c>
      <c r="F466">
        <v>42</v>
      </c>
      <c r="G466" t="s">
        <v>5016</v>
      </c>
      <c r="H466" t="s">
        <v>5022</v>
      </c>
      <c r="I466" t="s">
        <v>5027</v>
      </c>
      <c r="J466">
        <v>82218</v>
      </c>
      <c r="K466">
        <v>50</v>
      </c>
      <c r="L466" s="7">
        <v>44948</v>
      </c>
      <c r="M466" t="s">
        <v>5029</v>
      </c>
      <c r="N466">
        <v>3</v>
      </c>
      <c r="O466">
        <v>1840</v>
      </c>
    </row>
    <row r="467" spans="1:15" x14ac:dyDescent="0.3">
      <c r="A467" t="s">
        <v>848</v>
      </c>
      <c r="B467" t="s">
        <v>1848</v>
      </c>
      <c r="C467" t="s">
        <v>2848</v>
      </c>
      <c r="D467" t="s">
        <v>3848</v>
      </c>
      <c r="E467" t="s">
        <v>4848</v>
      </c>
      <c r="F467">
        <v>33</v>
      </c>
      <c r="G467" t="s">
        <v>5016</v>
      </c>
      <c r="H467" t="s">
        <v>5022</v>
      </c>
      <c r="I467" t="s">
        <v>5024</v>
      </c>
      <c r="J467">
        <v>82257</v>
      </c>
      <c r="K467">
        <v>65</v>
      </c>
      <c r="L467" s="7">
        <v>45215</v>
      </c>
      <c r="M467" t="s">
        <v>5028</v>
      </c>
      <c r="N467">
        <v>3</v>
      </c>
      <c r="O467">
        <v>1368</v>
      </c>
    </row>
    <row r="468" spans="1:15" x14ac:dyDescent="0.3">
      <c r="A468" t="s">
        <v>677</v>
      </c>
      <c r="B468" t="s">
        <v>1677</v>
      </c>
      <c r="C468" t="s">
        <v>2677</v>
      </c>
      <c r="D468" t="s">
        <v>3677</v>
      </c>
      <c r="E468" t="s">
        <v>4677</v>
      </c>
      <c r="F468">
        <v>35</v>
      </c>
      <c r="G468" t="s">
        <v>5016</v>
      </c>
      <c r="H468" t="s">
        <v>5021</v>
      </c>
      <c r="I468" t="s">
        <v>5024</v>
      </c>
      <c r="J468">
        <v>82397</v>
      </c>
      <c r="K468">
        <v>94</v>
      </c>
      <c r="L468" s="7">
        <v>45036</v>
      </c>
      <c r="M468" t="s">
        <v>5028</v>
      </c>
      <c r="N468">
        <v>6</v>
      </c>
      <c r="O468">
        <v>5851</v>
      </c>
    </row>
    <row r="469" spans="1:15" x14ac:dyDescent="0.3">
      <c r="A469" t="s">
        <v>290</v>
      </c>
      <c r="B469" t="s">
        <v>1290</v>
      </c>
      <c r="C469" t="s">
        <v>2290</v>
      </c>
      <c r="D469" t="s">
        <v>3290</v>
      </c>
      <c r="E469" t="s">
        <v>4290</v>
      </c>
      <c r="F469">
        <v>33</v>
      </c>
      <c r="G469" t="s">
        <v>5016</v>
      </c>
      <c r="H469" t="s">
        <v>5018</v>
      </c>
      <c r="I469" t="s">
        <v>5025</v>
      </c>
      <c r="J469">
        <v>82509</v>
      </c>
      <c r="K469">
        <v>92</v>
      </c>
      <c r="L469" s="7">
        <v>44959</v>
      </c>
      <c r="M469" t="s">
        <v>5030</v>
      </c>
      <c r="N469">
        <v>7</v>
      </c>
      <c r="O469">
        <v>986</v>
      </c>
    </row>
    <row r="470" spans="1:15" x14ac:dyDescent="0.3">
      <c r="A470" t="s">
        <v>109</v>
      </c>
      <c r="B470" t="s">
        <v>1109</v>
      </c>
      <c r="C470" t="s">
        <v>2109</v>
      </c>
      <c r="D470" t="s">
        <v>3109</v>
      </c>
      <c r="E470" t="s">
        <v>4109</v>
      </c>
      <c r="F470">
        <v>32</v>
      </c>
      <c r="G470" t="s">
        <v>5015</v>
      </c>
      <c r="H470" t="s">
        <v>5018</v>
      </c>
      <c r="I470" t="s">
        <v>5024</v>
      </c>
      <c r="J470">
        <v>82581</v>
      </c>
      <c r="K470">
        <v>40</v>
      </c>
      <c r="L470" s="7">
        <v>45229</v>
      </c>
      <c r="M470" t="s">
        <v>5030</v>
      </c>
      <c r="N470">
        <v>7</v>
      </c>
      <c r="O470">
        <v>8039</v>
      </c>
    </row>
    <row r="471" spans="1:15" x14ac:dyDescent="0.3">
      <c r="A471" t="s">
        <v>480</v>
      </c>
      <c r="B471" t="s">
        <v>1480</v>
      </c>
      <c r="C471" t="s">
        <v>2480</v>
      </c>
      <c r="D471" t="s">
        <v>3480</v>
      </c>
      <c r="E471" t="s">
        <v>4480</v>
      </c>
      <c r="F471">
        <v>32</v>
      </c>
      <c r="G471" t="s">
        <v>5016</v>
      </c>
      <c r="H471" t="s">
        <v>5019</v>
      </c>
      <c r="I471" t="s">
        <v>5024</v>
      </c>
      <c r="J471">
        <v>82586</v>
      </c>
      <c r="K471">
        <v>10</v>
      </c>
      <c r="L471" s="7">
        <v>44953</v>
      </c>
      <c r="M471" t="s">
        <v>5029</v>
      </c>
      <c r="N471">
        <v>6</v>
      </c>
      <c r="O471">
        <v>4103</v>
      </c>
    </row>
    <row r="472" spans="1:15" x14ac:dyDescent="0.3">
      <c r="A472" t="s">
        <v>787</v>
      </c>
      <c r="B472" t="s">
        <v>1787</v>
      </c>
      <c r="C472" t="s">
        <v>2787</v>
      </c>
      <c r="D472" t="s">
        <v>3787</v>
      </c>
      <c r="E472" t="s">
        <v>4787</v>
      </c>
      <c r="F472">
        <v>41</v>
      </c>
      <c r="G472" t="s">
        <v>5017</v>
      </c>
      <c r="H472" t="s">
        <v>5021</v>
      </c>
      <c r="I472" t="s">
        <v>5027</v>
      </c>
      <c r="J472">
        <v>82733</v>
      </c>
      <c r="K472">
        <v>59</v>
      </c>
      <c r="L472" s="7">
        <v>44992</v>
      </c>
      <c r="M472" t="s">
        <v>5029</v>
      </c>
      <c r="N472">
        <v>6</v>
      </c>
      <c r="O472">
        <v>501</v>
      </c>
    </row>
    <row r="473" spans="1:15" x14ac:dyDescent="0.3">
      <c r="A473" t="s">
        <v>322</v>
      </c>
      <c r="B473" t="s">
        <v>1322</v>
      </c>
      <c r="C473" t="s">
        <v>2322</v>
      </c>
      <c r="D473" t="s">
        <v>3322</v>
      </c>
      <c r="E473" t="s">
        <v>4322</v>
      </c>
      <c r="F473">
        <v>53</v>
      </c>
      <c r="G473" t="s">
        <v>5017</v>
      </c>
      <c r="H473" t="s">
        <v>5018</v>
      </c>
      <c r="I473" t="s">
        <v>5023</v>
      </c>
      <c r="J473">
        <v>82737</v>
      </c>
      <c r="K473">
        <v>10</v>
      </c>
      <c r="L473" s="7">
        <v>44930</v>
      </c>
      <c r="M473" t="s">
        <v>5029</v>
      </c>
      <c r="N473">
        <v>8</v>
      </c>
      <c r="O473">
        <v>6369</v>
      </c>
    </row>
    <row r="474" spans="1:15" x14ac:dyDescent="0.3">
      <c r="A474" t="s">
        <v>534</v>
      </c>
      <c r="B474" t="s">
        <v>1534</v>
      </c>
      <c r="C474" t="s">
        <v>2534</v>
      </c>
      <c r="D474" t="s">
        <v>3534</v>
      </c>
      <c r="E474" t="s">
        <v>4534</v>
      </c>
      <c r="F474">
        <v>51</v>
      </c>
      <c r="G474" t="s">
        <v>5017</v>
      </c>
      <c r="H474" t="s">
        <v>5019</v>
      </c>
      <c r="I474" t="s">
        <v>5024</v>
      </c>
      <c r="J474">
        <v>82746</v>
      </c>
      <c r="K474">
        <v>47</v>
      </c>
      <c r="L474" s="7">
        <v>45066</v>
      </c>
      <c r="M474" t="s">
        <v>5030</v>
      </c>
      <c r="N474">
        <v>1</v>
      </c>
      <c r="O474">
        <v>1797</v>
      </c>
    </row>
    <row r="475" spans="1:15" x14ac:dyDescent="0.3">
      <c r="A475" t="s">
        <v>634</v>
      </c>
      <c r="B475" t="s">
        <v>1634</v>
      </c>
      <c r="C475" t="s">
        <v>2634</v>
      </c>
      <c r="D475" t="s">
        <v>3634</v>
      </c>
      <c r="E475" t="s">
        <v>4634</v>
      </c>
      <c r="F475">
        <v>50</v>
      </c>
      <c r="G475" t="s">
        <v>5015</v>
      </c>
      <c r="H475" t="s">
        <v>5020</v>
      </c>
      <c r="I475" t="s">
        <v>5025</v>
      </c>
      <c r="J475">
        <v>82805</v>
      </c>
      <c r="K475">
        <v>40</v>
      </c>
      <c r="L475" s="7">
        <v>45212</v>
      </c>
      <c r="M475" t="s">
        <v>5028</v>
      </c>
      <c r="N475">
        <v>7</v>
      </c>
      <c r="O475">
        <v>8443</v>
      </c>
    </row>
    <row r="476" spans="1:15" x14ac:dyDescent="0.3">
      <c r="A476" t="s">
        <v>975</v>
      </c>
      <c r="B476" t="s">
        <v>1975</v>
      </c>
      <c r="C476" t="s">
        <v>2975</v>
      </c>
      <c r="D476" t="s">
        <v>3975</v>
      </c>
      <c r="E476" t="s">
        <v>4975</v>
      </c>
      <c r="F476">
        <v>66</v>
      </c>
      <c r="G476" t="s">
        <v>5015</v>
      </c>
      <c r="H476" t="s">
        <v>5019</v>
      </c>
      <c r="I476" t="s">
        <v>5024</v>
      </c>
      <c r="J476">
        <v>82845</v>
      </c>
      <c r="K476">
        <v>95</v>
      </c>
      <c r="L476" s="7">
        <v>45278</v>
      </c>
      <c r="M476" t="s">
        <v>5028</v>
      </c>
      <c r="N476">
        <v>3</v>
      </c>
      <c r="O476">
        <v>1965</v>
      </c>
    </row>
    <row r="477" spans="1:15" x14ac:dyDescent="0.3">
      <c r="A477" t="s">
        <v>684</v>
      </c>
      <c r="B477" t="s">
        <v>1684</v>
      </c>
      <c r="C477" t="s">
        <v>2684</v>
      </c>
      <c r="D477" t="s">
        <v>3684</v>
      </c>
      <c r="E477" t="s">
        <v>4684</v>
      </c>
      <c r="F477">
        <v>25</v>
      </c>
      <c r="G477" t="s">
        <v>5016</v>
      </c>
      <c r="H477" t="s">
        <v>5019</v>
      </c>
      <c r="I477" t="s">
        <v>5023</v>
      </c>
      <c r="J477">
        <v>83046</v>
      </c>
      <c r="K477">
        <v>15</v>
      </c>
      <c r="L477" s="7">
        <v>45124</v>
      </c>
      <c r="M477" t="s">
        <v>5028</v>
      </c>
      <c r="N477">
        <v>6</v>
      </c>
      <c r="O477">
        <v>4485</v>
      </c>
    </row>
    <row r="478" spans="1:15" x14ac:dyDescent="0.3">
      <c r="A478" t="s">
        <v>355</v>
      </c>
      <c r="B478" t="s">
        <v>1355</v>
      </c>
      <c r="C478" t="s">
        <v>2355</v>
      </c>
      <c r="D478" t="s">
        <v>3355</v>
      </c>
      <c r="E478" t="s">
        <v>4355</v>
      </c>
      <c r="F478">
        <v>36</v>
      </c>
      <c r="G478" t="s">
        <v>5017</v>
      </c>
      <c r="H478" t="s">
        <v>5020</v>
      </c>
      <c r="I478" t="s">
        <v>5024</v>
      </c>
      <c r="J478">
        <v>83315</v>
      </c>
      <c r="K478">
        <v>21</v>
      </c>
      <c r="L478" s="7">
        <v>45085</v>
      </c>
      <c r="M478" t="s">
        <v>5028</v>
      </c>
      <c r="N478">
        <v>8</v>
      </c>
      <c r="O478">
        <v>26</v>
      </c>
    </row>
    <row r="479" spans="1:15" x14ac:dyDescent="0.3">
      <c r="A479" t="s">
        <v>593</v>
      </c>
      <c r="B479" t="s">
        <v>1593</v>
      </c>
      <c r="C479" t="s">
        <v>2593</v>
      </c>
      <c r="D479" t="s">
        <v>3593</v>
      </c>
      <c r="E479" t="s">
        <v>4593</v>
      </c>
      <c r="F479">
        <v>68</v>
      </c>
      <c r="G479" t="s">
        <v>5015</v>
      </c>
      <c r="H479" t="s">
        <v>5022</v>
      </c>
      <c r="I479" t="s">
        <v>5025</v>
      </c>
      <c r="J479">
        <v>83342</v>
      </c>
      <c r="K479">
        <v>22</v>
      </c>
      <c r="L479" s="7">
        <v>45094</v>
      </c>
      <c r="M479" t="s">
        <v>5028</v>
      </c>
      <c r="N479">
        <v>4</v>
      </c>
      <c r="O479">
        <v>2841</v>
      </c>
    </row>
    <row r="480" spans="1:15" x14ac:dyDescent="0.3">
      <c r="A480" t="s">
        <v>165</v>
      </c>
      <c r="B480" t="s">
        <v>1165</v>
      </c>
      <c r="C480" t="s">
        <v>2165</v>
      </c>
      <c r="D480" t="s">
        <v>3165</v>
      </c>
      <c r="E480" t="s">
        <v>4165</v>
      </c>
      <c r="F480">
        <v>34</v>
      </c>
      <c r="G480" t="s">
        <v>5016</v>
      </c>
      <c r="H480" t="s">
        <v>5019</v>
      </c>
      <c r="I480" t="s">
        <v>5024</v>
      </c>
      <c r="J480">
        <v>83350</v>
      </c>
      <c r="K480">
        <v>0</v>
      </c>
      <c r="L480" s="7">
        <v>45213</v>
      </c>
      <c r="M480" t="s">
        <v>5030</v>
      </c>
      <c r="N480">
        <v>8</v>
      </c>
      <c r="O480">
        <v>1900</v>
      </c>
    </row>
    <row r="481" spans="1:15" x14ac:dyDescent="0.3">
      <c r="A481" t="s">
        <v>396</v>
      </c>
      <c r="B481" t="s">
        <v>1396</v>
      </c>
      <c r="C481" t="s">
        <v>2396</v>
      </c>
      <c r="D481" t="s">
        <v>3396</v>
      </c>
      <c r="E481" t="s">
        <v>4396</v>
      </c>
      <c r="F481">
        <v>65</v>
      </c>
      <c r="G481" t="s">
        <v>5015</v>
      </c>
      <c r="H481" t="s">
        <v>5021</v>
      </c>
      <c r="I481" t="s">
        <v>5023</v>
      </c>
      <c r="J481">
        <v>83464</v>
      </c>
      <c r="K481">
        <v>14</v>
      </c>
      <c r="L481" s="7">
        <v>45008</v>
      </c>
      <c r="M481" t="s">
        <v>5029</v>
      </c>
      <c r="N481">
        <v>1</v>
      </c>
      <c r="O481">
        <v>6207</v>
      </c>
    </row>
    <row r="482" spans="1:15" x14ac:dyDescent="0.3">
      <c r="A482" t="s">
        <v>911</v>
      </c>
      <c r="B482" t="s">
        <v>1911</v>
      </c>
      <c r="C482" t="s">
        <v>2911</v>
      </c>
      <c r="D482" t="s">
        <v>3911</v>
      </c>
      <c r="E482" t="s">
        <v>4911</v>
      </c>
      <c r="F482">
        <v>30</v>
      </c>
      <c r="G482" t="s">
        <v>5016</v>
      </c>
      <c r="H482" t="s">
        <v>5020</v>
      </c>
      <c r="I482" t="s">
        <v>5025</v>
      </c>
      <c r="J482">
        <v>83735</v>
      </c>
      <c r="K482">
        <v>97</v>
      </c>
      <c r="L482" s="7">
        <v>45029</v>
      </c>
      <c r="M482" t="s">
        <v>5028</v>
      </c>
      <c r="N482">
        <v>7</v>
      </c>
      <c r="O482">
        <v>2464</v>
      </c>
    </row>
    <row r="483" spans="1:15" x14ac:dyDescent="0.3">
      <c r="A483" t="s">
        <v>205</v>
      </c>
      <c r="B483" t="s">
        <v>1205</v>
      </c>
      <c r="C483" t="s">
        <v>2205</v>
      </c>
      <c r="D483" t="s">
        <v>3205</v>
      </c>
      <c r="E483" t="s">
        <v>4205</v>
      </c>
      <c r="F483">
        <v>27</v>
      </c>
      <c r="G483" t="s">
        <v>5017</v>
      </c>
      <c r="H483" t="s">
        <v>5018</v>
      </c>
      <c r="I483" t="s">
        <v>5026</v>
      </c>
      <c r="J483">
        <v>83751</v>
      </c>
      <c r="K483">
        <v>17</v>
      </c>
      <c r="L483" s="7">
        <v>45138</v>
      </c>
      <c r="M483" t="s">
        <v>5028</v>
      </c>
      <c r="N483">
        <v>7</v>
      </c>
      <c r="O483">
        <v>6413</v>
      </c>
    </row>
    <row r="484" spans="1:15" x14ac:dyDescent="0.3">
      <c r="A484" t="s">
        <v>113</v>
      </c>
      <c r="B484" t="s">
        <v>1113</v>
      </c>
      <c r="C484" t="s">
        <v>2113</v>
      </c>
      <c r="D484" t="s">
        <v>3113</v>
      </c>
      <c r="E484" t="s">
        <v>4113</v>
      </c>
      <c r="F484">
        <v>37</v>
      </c>
      <c r="G484" t="s">
        <v>5015</v>
      </c>
      <c r="H484" t="s">
        <v>5019</v>
      </c>
      <c r="I484" t="s">
        <v>5027</v>
      </c>
      <c r="J484">
        <v>83820</v>
      </c>
      <c r="K484">
        <v>2</v>
      </c>
      <c r="L484" s="7">
        <v>44958</v>
      </c>
      <c r="M484" t="s">
        <v>5030</v>
      </c>
      <c r="N484">
        <v>6</v>
      </c>
      <c r="O484">
        <v>849</v>
      </c>
    </row>
    <row r="485" spans="1:15" x14ac:dyDescent="0.3">
      <c r="A485" t="s">
        <v>842</v>
      </c>
      <c r="B485" t="s">
        <v>1842</v>
      </c>
      <c r="C485" t="s">
        <v>2842</v>
      </c>
      <c r="D485" t="s">
        <v>3842</v>
      </c>
      <c r="E485" t="s">
        <v>4842</v>
      </c>
      <c r="F485">
        <v>68</v>
      </c>
      <c r="G485" t="s">
        <v>5015</v>
      </c>
      <c r="H485" t="s">
        <v>5020</v>
      </c>
      <c r="I485" t="s">
        <v>5027</v>
      </c>
      <c r="J485">
        <v>84055</v>
      </c>
      <c r="K485">
        <v>22</v>
      </c>
      <c r="L485" s="7">
        <v>44946</v>
      </c>
      <c r="M485" t="s">
        <v>5030</v>
      </c>
      <c r="N485">
        <v>2</v>
      </c>
      <c r="O485">
        <v>1263</v>
      </c>
    </row>
    <row r="486" spans="1:15" x14ac:dyDescent="0.3">
      <c r="A486" t="s">
        <v>185</v>
      </c>
      <c r="B486" t="s">
        <v>1185</v>
      </c>
      <c r="C486" t="s">
        <v>2185</v>
      </c>
      <c r="D486" t="s">
        <v>3185</v>
      </c>
      <c r="E486" t="s">
        <v>4185</v>
      </c>
      <c r="F486">
        <v>70</v>
      </c>
      <c r="G486" t="s">
        <v>5015</v>
      </c>
      <c r="H486" t="s">
        <v>5019</v>
      </c>
      <c r="I486" t="s">
        <v>5024</v>
      </c>
      <c r="J486">
        <v>84056</v>
      </c>
      <c r="K486">
        <v>79</v>
      </c>
      <c r="L486" s="7">
        <v>45251</v>
      </c>
      <c r="M486" t="s">
        <v>5030</v>
      </c>
      <c r="N486">
        <v>4</v>
      </c>
      <c r="O486">
        <v>7388</v>
      </c>
    </row>
    <row r="487" spans="1:15" x14ac:dyDescent="0.3">
      <c r="A487" t="s">
        <v>917</v>
      </c>
      <c r="B487" t="s">
        <v>1917</v>
      </c>
      <c r="C487" t="s">
        <v>2917</v>
      </c>
      <c r="D487" t="s">
        <v>3917</v>
      </c>
      <c r="E487" t="s">
        <v>4917</v>
      </c>
      <c r="F487">
        <v>34</v>
      </c>
      <c r="G487" t="s">
        <v>5015</v>
      </c>
      <c r="H487" t="s">
        <v>5019</v>
      </c>
      <c r="I487" t="s">
        <v>5026</v>
      </c>
      <c r="J487">
        <v>84145</v>
      </c>
      <c r="K487">
        <v>73</v>
      </c>
      <c r="L487" s="7">
        <v>45008</v>
      </c>
      <c r="M487" t="s">
        <v>5030</v>
      </c>
      <c r="N487">
        <v>5</v>
      </c>
      <c r="O487">
        <v>3179</v>
      </c>
    </row>
    <row r="488" spans="1:15" x14ac:dyDescent="0.3">
      <c r="A488" t="s">
        <v>675</v>
      </c>
      <c r="B488" t="s">
        <v>1675</v>
      </c>
      <c r="C488" t="s">
        <v>2675</v>
      </c>
      <c r="D488" t="s">
        <v>3675</v>
      </c>
      <c r="E488" t="s">
        <v>4675</v>
      </c>
      <c r="F488">
        <v>36</v>
      </c>
      <c r="G488" t="s">
        <v>5016</v>
      </c>
      <c r="H488" t="s">
        <v>5022</v>
      </c>
      <c r="I488" t="s">
        <v>5025</v>
      </c>
      <c r="J488">
        <v>84155</v>
      </c>
      <c r="K488">
        <v>92</v>
      </c>
      <c r="L488" s="7">
        <v>44958</v>
      </c>
      <c r="M488" t="s">
        <v>5030</v>
      </c>
      <c r="N488">
        <v>4</v>
      </c>
      <c r="O488">
        <v>8836</v>
      </c>
    </row>
    <row r="489" spans="1:15" x14ac:dyDescent="0.3">
      <c r="A489" t="s">
        <v>184</v>
      </c>
      <c r="B489" t="s">
        <v>1184</v>
      </c>
      <c r="C489" t="s">
        <v>2184</v>
      </c>
      <c r="D489" t="s">
        <v>3184</v>
      </c>
      <c r="E489" t="s">
        <v>4184</v>
      </c>
      <c r="F489">
        <v>70</v>
      </c>
      <c r="G489" t="s">
        <v>5015</v>
      </c>
      <c r="H489" t="s">
        <v>5021</v>
      </c>
      <c r="I489" t="s">
        <v>5025</v>
      </c>
      <c r="J489">
        <v>84260</v>
      </c>
      <c r="K489">
        <v>27</v>
      </c>
      <c r="L489" s="7">
        <v>45093</v>
      </c>
      <c r="M489" t="s">
        <v>5028</v>
      </c>
      <c r="N489">
        <v>7</v>
      </c>
      <c r="O489">
        <v>3130</v>
      </c>
    </row>
    <row r="490" spans="1:15" x14ac:dyDescent="0.3">
      <c r="A490" t="s">
        <v>808</v>
      </c>
      <c r="B490" t="s">
        <v>1808</v>
      </c>
      <c r="C490" t="s">
        <v>2808</v>
      </c>
      <c r="D490" t="s">
        <v>3808</v>
      </c>
      <c r="E490" t="s">
        <v>4808</v>
      </c>
      <c r="F490">
        <v>18</v>
      </c>
      <c r="G490" t="s">
        <v>5015</v>
      </c>
      <c r="H490" t="s">
        <v>5020</v>
      </c>
      <c r="I490" t="s">
        <v>5025</v>
      </c>
      <c r="J490">
        <v>84412</v>
      </c>
      <c r="K490">
        <v>27</v>
      </c>
      <c r="L490" s="7">
        <v>45031</v>
      </c>
      <c r="M490" t="s">
        <v>5030</v>
      </c>
      <c r="N490">
        <v>5</v>
      </c>
      <c r="O490">
        <v>151</v>
      </c>
    </row>
    <row r="491" spans="1:15" x14ac:dyDescent="0.3">
      <c r="A491" t="s">
        <v>231</v>
      </c>
      <c r="B491" t="s">
        <v>1231</v>
      </c>
      <c r="C491" t="s">
        <v>2231</v>
      </c>
      <c r="D491" t="s">
        <v>3231</v>
      </c>
      <c r="E491" t="s">
        <v>4231</v>
      </c>
      <c r="F491">
        <v>68</v>
      </c>
      <c r="G491" t="s">
        <v>5015</v>
      </c>
      <c r="H491" t="s">
        <v>5020</v>
      </c>
      <c r="I491" t="s">
        <v>5023</v>
      </c>
      <c r="J491">
        <v>84507</v>
      </c>
      <c r="K491">
        <v>7</v>
      </c>
      <c r="L491" s="7">
        <v>44966</v>
      </c>
      <c r="M491" t="s">
        <v>5030</v>
      </c>
      <c r="N491">
        <v>2</v>
      </c>
      <c r="O491">
        <v>6888</v>
      </c>
    </row>
    <row r="492" spans="1:15" x14ac:dyDescent="0.3">
      <c r="A492" t="s">
        <v>141</v>
      </c>
      <c r="B492" t="s">
        <v>1141</v>
      </c>
      <c r="C492" t="s">
        <v>2141</v>
      </c>
      <c r="D492" t="s">
        <v>3141</v>
      </c>
      <c r="E492" t="s">
        <v>4141</v>
      </c>
      <c r="F492">
        <v>64</v>
      </c>
      <c r="G492" t="s">
        <v>5016</v>
      </c>
      <c r="H492" t="s">
        <v>5020</v>
      </c>
      <c r="I492" t="s">
        <v>5026</v>
      </c>
      <c r="J492">
        <v>84572</v>
      </c>
      <c r="K492">
        <v>30</v>
      </c>
      <c r="L492" s="7">
        <v>45134</v>
      </c>
      <c r="M492" t="s">
        <v>5030</v>
      </c>
      <c r="N492">
        <v>8</v>
      </c>
      <c r="O492">
        <v>6268</v>
      </c>
    </row>
    <row r="493" spans="1:15" x14ac:dyDescent="0.3">
      <c r="A493" t="s">
        <v>430</v>
      </c>
      <c r="B493" t="s">
        <v>1430</v>
      </c>
      <c r="C493" t="s">
        <v>2430</v>
      </c>
      <c r="D493" t="s">
        <v>3430</v>
      </c>
      <c r="E493" t="s">
        <v>4430</v>
      </c>
      <c r="F493">
        <v>31</v>
      </c>
      <c r="G493" t="s">
        <v>5016</v>
      </c>
      <c r="H493" t="s">
        <v>5018</v>
      </c>
      <c r="I493" t="s">
        <v>5024</v>
      </c>
      <c r="J493">
        <v>85285</v>
      </c>
      <c r="K493">
        <v>31</v>
      </c>
      <c r="L493" s="7">
        <v>45261</v>
      </c>
      <c r="M493" t="s">
        <v>5028</v>
      </c>
      <c r="N493">
        <v>6</v>
      </c>
      <c r="O493">
        <v>1505</v>
      </c>
    </row>
    <row r="494" spans="1:15" x14ac:dyDescent="0.3">
      <c r="A494" t="s">
        <v>469</v>
      </c>
      <c r="B494" t="s">
        <v>1469</v>
      </c>
      <c r="C494" t="s">
        <v>2469</v>
      </c>
      <c r="D494" t="s">
        <v>3469</v>
      </c>
      <c r="E494" t="s">
        <v>4469</v>
      </c>
      <c r="F494">
        <v>52</v>
      </c>
      <c r="G494" t="s">
        <v>5016</v>
      </c>
      <c r="H494" t="s">
        <v>5019</v>
      </c>
      <c r="I494" t="s">
        <v>5027</v>
      </c>
      <c r="J494">
        <v>85635</v>
      </c>
      <c r="K494">
        <v>11</v>
      </c>
      <c r="L494" s="7">
        <v>44978</v>
      </c>
      <c r="M494" t="s">
        <v>5030</v>
      </c>
      <c r="N494">
        <v>9</v>
      </c>
      <c r="O494">
        <v>5535</v>
      </c>
    </row>
    <row r="495" spans="1:15" x14ac:dyDescent="0.3">
      <c r="A495" t="s">
        <v>252</v>
      </c>
      <c r="B495" t="s">
        <v>1252</v>
      </c>
      <c r="C495" t="s">
        <v>2252</v>
      </c>
      <c r="D495" t="s">
        <v>3252</v>
      </c>
      <c r="E495" t="s">
        <v>4252</v>
      </c>
      <c r="F495">
        <v>35</v>
      </c>
      <c r="G495" t="s">
        <v>5015</v>
      </c>
      <c r="H495" t="s">
        <v>5019</v>
      </c>
      <c r="I495" t="s">
        <v>5026</v>
      </c>
      <c r="J495">
        <v>85994</v>
      </c>
      <c r="K495">
        <v>20</v>
      </c>
      <c r="L495" s="7">
        <v>44996</v>
      </c>
      <c r="M495" t="s">
        <v>5029</v>
      </c>
      <c r="N495">
        <v>8</v>
      </c>
      <c r="O495">
        <v>1963</v>
      </c>
    </row>
    <row r="496" spans="1:15" x14ac:dyDescent="0.3">
      <c r="A496" t="s">
        <v>805</v>
      </c>
      <c r="B496" t="s">
        <v>1805</v>
      </c>
      <c r="C496" t="s">
        <v>2805</v>
      </c>
      <c r="D496" t="s">
        <v>3805</v>
      </c>
      <c r="E496" t="s">
        <v>4805</v>
      </c>
      <c r="F496">
        <v>67</v>
      </c>
      <c r="G496" t="s">
        <v>5016</v>
      </c>
      <c r="H496" t="s">
        <v>5020</v>
      </c>
      <c r="I496" t="s">
        <v>5023</v>
      </c>
      <c r="J496">
        <v>86062</v>
      </c>
      <c r="K496">
        <v>92</v>
      </c>
      <c r="L496" s="7">
        <v>45256</v>
      </c>
      <c r="M496" t="s">
        <v>5030</v>
      </c>
      <c r="N496">
        <v>5</v>
      </c>
      <c r="O496">
        <v>7667</v>
      </c>
    </row>
    <row r="497" spans="1:15" x14ac:dyDescent="0.3">
      <c r="A497" t="s">
        <v>348</v>
      </c>
      <c r="B497" t="s">
        <v>1348</v>
      </c>
      <c r="C497" t="s">
        <v>2348</v>
      </c>
      <c r="D497" t="s">
        <v>3348</v>
      </c>
      <c r="E497" t="s">
        <v>4348</v>
      </c>
      <c r="F497">
        <v>35</v>
      </c>
      <c r="G497" t="s">
        <v>5017</v>
      </c>
      <c r="H497" t="s">
        <v>5018</v>
      </c>
      <c r="I497" t="s">
        <v>5025</v>
      </c>
      <c r="J497">
        <v>86092</v>
      </c>
      <c r="K497">
        <v>4</v>
      </c>
      <c r="L497" s="7">
        <v>45126</v>
      </c>
      <c r="M497" t="s">
        <v>5029</v>
      </c>
      <c r="N497">
        <v>9</v>
      </c>
      <c r="O497">
        <v>6022</v>
      </c>
    </row>
    <row r="498" spans="1:15" x14ac:dyDescent="0.3">
      <c r="A498" t="s">
        <v>726</v>
      </c>
      <c r="B498" t="s">
        <v>1726</v>
      </c>
      <c r="C498" t="s">
        <v>2726</v>
      </c>
      <c r="D498" t="s">
        <v>3726</v>
      </c>
      <c r="E498" t="s">
        <v>4726</v>
      </c>
      <c r="F498">
        <v>57</v>
      </c>
      <c r="G498" t="s">
        <v>5015</v>
      </c>
      <c r="H498" t="s">
        <v>5021</v>
      </c>
      <c r="I498" t="s">
        <v>5023</v>
      </c>
      <c r="J498">
        <v>86318</v>
      </c>
      <c r="K498">
        <v>84</v>
      </c>
      <c r="L498" s="7">
        <v>45140</v>
      </c>
      <c r="M498" t="s">
        <v>5028</v>
      </c>
      <c r="N498">
        <v>5</v>
      </c>
      <c r="O498">
        <v>3225</v>
      </c>
    </row>
    <row r="499" spans="1:15" x14ac:dyDescent="0.3">
      <c r="A499" t="s">
        <v>937</v>
      </c>
      <c r="B499" t="s">
        <v>1937</v>
      </c>
      <c r="C499" t="s">
        <v>2937</v>
      </c>
      <c r="D499" t="s">
        <v>3937</v>
      </c>
      <c r="E499" t="s">
        <v>4937</v>
      </c>
      <c r="F499">
        <v>48</v>
      </c>
      <c r="G499" t="s">
        <v>5016</v>
      </c>
      <c r="H499" t="s">
        <v>5021</v>
      </c>
      <c r="I499" t="s">
        <v>5023</v>
      </c>
      <c r="J499">
        <v>86451</v>
      </c>
      <c r="K499">
        <v>72</v>
      </c>
      <c r="L499" s="7">
        <v>45092</v>
      </c>
      <c r="M499" t="s">
        <v>5029</v>
      </c>
      <c r="N499">
        <v>3</v>
      </c>
      <c r="O499">
        <v>8071</v>
      </c>
    </row>
    <row r="500" spans="1:15" x14ac:dyDescent="0.3">
      <c r="A500" t="s">
        <v>307</v>
      </c>
      <c r="B500" t="s">
        <v>1307</v>
      </c>
      <c r="C500" t="s">
        <v>2307</v>
      </c>
      <c r="D500" t="s">
        <v>3307</v>
      </c>
      <c r="E500" t="s">
        <v>4307</v>
      </c>
      <c r="F500">
        <v>44</v>
      </c>
      <c r="G500" t="s">
        <v>5015</v>
      </c>
      <c r="H500" t="s">
        <v>5022</v>
      </c>
      <c r="I500" t="s">
        <v>5025</v>
      </c>
      <c r="J500">
        <v>86494</v>
      </c>
      <c r="K500">
        <v>83</v>
      </c>
      <c r="L500" s="7">
        <v>45063</v>
      </c>
      <c r="M500" t="s">
        <v>5029</v>
      </c>
      <c r="N500">
        <v>3</v>
      </c>
      <c r="O500">
        <v>541</v>
      </c>
    </row>
    <row r="501" spans="1:15" x14ac:dyDescent="0.3">
      <c r="A501" t="s">
        <v>689</v>
      </c>
      <c r="B501" t="s">
        <v>1689</v>
      </c>
      <c r="C501" t="s">
        <v>2689</v>
      </c>
      <c r="D501" t="s">
        <v>3689</v>
      </c>
      <c r="E501" t="s">
        <v>4689</v>
      </c>
      <c r="F501">
        <v>28</v>
      </c>
      <c r="G501" t="s">
        <v>5017</v>
      </c>
      <c r="H501" t="s">
        <v>5018</v>
      </c>
      <c r="I501" t="s">
        <v>5026</v>
      </c>
      <c r="J501">
        <v>86782</v>
      </c>
      <c r="K501">
        <v>94</v>
      </c>
      <c r="L501" s="7">
        <v>45065</v>
      </c>
      <c r="M501" t="s">
        <v>5029</v>
      </c>
      <c r="N501">
        <v>8</v>
      </c>
      <c r="O501">
        <v>7307</v>
      </c>
    </row>
    <row r="502" spans="1:15" x14ac:dyDescent="0.3">
      <c r="A502" t="s">
        <v>730</v>
      </c>
      <c r="B502" t="s">
        <v>1730</v>
      </c>
      <c r="C502" t="s">
        <v>2730</v>
      </c>
      <c r="D502" t="s">
        <v>3730</v>
      </c>
      <c r="E502" t="s">
        <v>4730</v>
      </c>
      <c r="F502">
        <v>28</v>
      </c>
      <c r="G502" t="s">
        <v>5015</v>
      </c>
      <c r="H502" t="s">
        <v>5020</v>
      </c>
      <c r="I502" t="s">
        <v>5023</v>
      </c>
      <c r="J502">
        <v>86970</v>
      </c>
      <c r="K502">
        <v>86</v>
      </c>
      <c r="L502" s="7">
        <v>45261</v>
      </c>
      <c r="M502" t="s">
        <v>5029</v>
      </c>
      <c r="N502">
        <v>1</v>
      </c>
      <c r="O502">
        <v>1540</v>
      </c>
    </row>
    <row r="503" spans="1:15" x14ac:dyDescent="0.3">
      <c r="A503" t="s">
        <v>338</v>
      </c>
      <c r="B503" t="s">
        <v>1338</v>
      </c>
      <c r="C503" t="s">
        <v>2338</v>
      </c>
      <c r="D503" t="s">
        <v>3338</v>
      </c>
      <c r="E503" t="s">
        <v>4338</v>
      </c>
      <c r="F503">
        <v>65</v>
      </c>
      <c r="G503" t="s">
        <v>5016</v>
      </c>
      <c r="H503" t="s">
        <v>5019</v>
      </c>
      <c r="I503" t="s">
        <v>5026</v>
      </c>
      <c r="J503">
        <v>87072</v>
      </c>
      <c r="K503">
        <v>54</v>
      </c>
      <c r="L503" s="7">
        <v>45255</v>
      </c>
      <c r="M503" t="s">
        <v>5029</v>
      </c>
      <c r="N503">
        <v>2</v>
      </c>
      <c r="O503">
        <v>302</v>
      </c>
    </row>
    <row r="504" spans="1:15" x14ac:dyDescent="0.3">
      <c r="A504" t="s">
        <v>933</v>
      </c>
      <c r="B504" t="s">
        <v>1933</v>
      </c>
      <c r="C504" t="s">
        <v>2933</v>
      </c>
      <c r="D504" t="s">
        <v>3933</v>
      </c>
      <c r="E504" t="s">
        <v>4933</v>
      </c>
      <c r="F504">
        <v>25</v>
      </c>
      <c r="G504" t="s">
        <v>5017</v>
      </c>
      <c r="H504" t="s">
        <v>5020</v>
      </c>
      <c r="I504" t="s">
        <v>5024</v>
      </c>
      <c r="J504">
        <v>87129</v>
      </c>
      <c r="K504">
        <v>29</v>
      </c>
      <c r="L504" s="7">
        <v>45117</v>
      </c>
      <c r="M504" t="s">
        <v>5028</v>
      </c>
      <c r="N504">
        <v>8</v>
      </c>
      <c r="O504">
        <v>1163</v>
      </c>
    </row>
    <row r="505" spans="1:15" x14ac:dyDescent="0.3">
      <c r="A505" t="s">
        <v>188</v>
      </c>
      <c r="B505" t="s">
        <v>1188</v>
      </c>
      <c r="C505" t="s">
        <v>2188</v>
      </c>
      <c r="D505" t="s">
        <v>3188</v>
      </c>
      <c r="E505" t="s">
        <v>4188</v>
      </c>
      <c r="F505">
        <v>29</v>
      </c>
      <c r="G505" t="s">
        <v>5015</v>
      </c>
      <c r="H505" t="s">
        <v>5022</v>
      </c>
      <c r="I505" t="s">
        <v>5025</v>
      </c>
      <c r="J505">
        <v>87213</v>
      </c>
      <c r="K505">
        <v>55</v>
      </c>
      <c r="L505" s="7">
        <v>45126</v>
      </c>
      <c r="M505" t="s">
        <v>5029</v>
      </c>
      <c r="N505">
        <v>8</v>
      </c>
      <c r="O505">
        <v>9374</v>
      </c>
    </row>
    <row r="506" spans="1:15" x14ac:dyDescent="0.3">
      <c r="A506" t="s">
        <v>152</v>
      </c>
      <c r="B506" t="s">
        <v>1152</v>
      </c>
      <c r="C506" t="s">
        <v>2152</v>
      </c>
      <c r="D506" t="s">
        <v>3152</v>
      </c>
      <c r="E506" t="s">
        <v>4152</v>
      </c>
      <c r="F506">
        <v>46</v>
      </c>
      <c r="G506" t="s">
        <v>5016</v>
      </c>
      <c r="H506" t="s">
        <v>5020</v>
      </c>
      <c r="I506" t="s">
        <v>5025</v>
      </c>
      <c r="J506">
        <v>87248</v>
      </c>
      <c r="K506">
        <v>9</v>
      </c>
      <c r="L506" s="7">
        <v>45232</v>
      </c>
      <c r="M506" t="s">
        <v>5030</v>
      </c>
      <c r="N506">
        <v>4</v>
      </c>
      <c r="O506">
        <v>2760</v>
      </c>
    </row>
    <row r="507" spans="1:15" x14ac:dyDescent="0.3">
      <c r="A507" t="s">
        <v>61</v>
      </c>
      <c r="B507" t="s">
        <v>1061</v>
      </c>
      <c r="C507" t="s">
        <v>2061</v>
      </c>
      <c r="D507" t="s">
        <v>3061</v>
      </c>
      <c r="E507" t="s">
        <v>4061</v>
      </c>
      <c r="F507">
        <v>60</v>
      </c>
      <c r="G507" t="s">
        <v>5017</v>
      </c>
      <c r="H507" t="s">
        <v>5019</v>
      </c>
      <c r="I507" t="s">
        <v>5026</v>
      </c>
      <c r="J507">
        <v>87407</v>
      </c>
      <c r="K507">
        <v>56</v>
      </c>
      <c r="L507" s="7">
        <v>45204</v>
      </c>
      <c r="M507" t="s">
        <v>5028</v>
      </c>
      <c r="N507">
        <v>7</v>
      </c>
      <c r="O507">
        <v>8019</v>
      </c>
    </row>
    <row r="508" spans="1:15" x14ac:dyDescent="0.3">
      <c r="A508" t="s">
        <v>299</v>
      </c>
      <c r="B508" t="s">
        <v>1299</v>
      </c>
      <c r="C508" t="s">
        <v>2299</v>
      </c>
      <c r="D508" t="s">
        <v>3299</v>
      </c>
      <c r="E508" t="s">
        <v>4299</v>
      </c>
      <c r="F508">
        <v>19</v>
      </c>
      <c r="G508" t="s">
        <v>5017</v>
      </c>
      <c r="H508" t="s">
        <v>5021</v>
      </c>
      <c r="I508" t="s">
        <v>5023</v>
      </c>
      <c r="J508">
        <v>87489</v>
      </c>
      <c r="K508">
        <v>50</v>
      </c>
      <c r="L508" s="7">
        <v>44949</v>
      </c>
      <c r="M508" t="s">
        <v>5030</v>
      </c>
      <c r="N508">
        <v>2</v>
      </c>
      <c r="O508">
        <v>4455</v>
      </c>
    </row>
    <row r="509" spans="1:15" x14ac:dyDescent="0.3">
      <c r="A509" t="s">
        <v>903</v>
      </c>
      <c r="B509" t="s">
        <v>1903</v>
      </c>
      <c r="C509" t="s">
        <v>2903</v>
      </c>
      <c r="D509" t="s">
        <v>3903</v>
      </c>
      <c r="E509" t="s">
        <v>4903</v>
      </c>
      <c r="F509">
        <v>70</v>
      </c>
      <c r="G509" t="s">
        <v>5016</v>
      </c>
      <c r="H509" t="s">
        <v>5018</v>
      </c>
      <c r="I509" t="s">
        <v>5027</v>
      </c>
      <c r="J509">
        <v>87548</v>
      </c>
      <c r="K509">
        <v>48</v>
      </c>
      <c r="L509" s="7">
        <v>45092</v>
      </c>
      <c r="M509" t="s">
        <v>5029</v>
      </c>
      <c r="N509">
        <v>3</v>
      </c>
      <c r="O509">
        <v>7542</v>
      </c>
    </row>
    <row r="510" spans="1:15" x14ac:dyDescent="0.3">
      <c r="A510" t="s">
        <v>758</v>
      </c>
      <c r="B510" t="s">
        <v>1758</v>
      </c>
      <c r="C510" t="s">
        <v>2758</v>
      </c>
      <c r="D510" t="s">
        <v>3758</v>
      </c>
      <c r="E510" t="s">
        <v>4758</v>
      </c>
      <c r="F510">
        <v>31</v>
      </c>
      <c r="G510" t="s">
        <v>5017</v>
      </c>
      <c r="H510" t="s">
        <v>5019</v>
      </c>
      <c r="I510" t="s">
        <v>5023</v>
      </c>
      <c r="J510">
        <v>87593</v>
      </c>
      <c r="K510">
        <v>2</v>
      </c>
      <c r="L510" s="7">
        <v>45059</v>
      </c>
      <c r="M510" t="s">
        <v>5028</v>
      </c>
      <c r="N510">
        <v>5</v>
      </c>
      <c r="O510">
        <v>4463</v>
      </c>
    </row>
    <row r="511" spans="1:15" x14ac:dyDescent="0.3">
      <c r="A511" t="s">
        <v>471</v>
      </c>
      <c r="B511" t="s">
        <v>1471</v>
      </c>
      <c r="C511" t="s">
        <v>2471</v>
      </c>
      <c r="D511" t="s">
        <v>3471</v>
      </c>
      <c r="E511" t="s">
        <v>4471</v>
      </c>
      <c r="F511">
        <v>20</v>
      </c>
      <c r="G511" t="s">
        <v>5016</v>
      </c>
      <c r="H511" t="s">
        <v>5018</v>
      </c>
      <c r="I511" t="s">
        <v>5026</v>
      </c>
      <c r="J511">
        <v>87890</v>
      </c>
      <c r="K511">
        <v>11</v>
      </c>
      <c r="L511" s="7">
        <v>44952</v>
      </c>
      <c r="M511" t="s">
        <v>5029</v>
      </c>
      <c r="N511">
        <v>10</v>
      </c>
      <c r="O511">
        <v>8364</v>
      </c>
    </row>
    <row r="512" spans="1:15" x14ac:dyDescent="0.3">
      <c r="A512" t="s">
        <v>820</v>
      </c>
      <c r="B512" t="s">
        <v>1820</v>
      </c>
      <c r="C512" t="s">
        <v>2820</v>
      </c>
      <c r="D512" t="s">
        <v>3820</v>
      </c>
      <c r="E512" t="s">
        <v>4820</v>
      </c>
      <c r="F512">
        <v>28</v>
      </c>
      <c r="G512" t="s">
        <v>5015</v>
      </c>
      <c r="H512" t="s">
        <v>5020</v>
      </c>
      <c r="I512" t="s">
        <v>5025</v>
      </c>
      <c r="J512">
        <v>88072</v>
      </c>
      <c r="K512">
        <v>85</v>
      </c>
      <c r="L512" s="7">
        <v>45041</v>
      </c>
      <c r="M512" t="s">
        <v>5030</v>
      </c>
      <c r="N512">
        <v>7</v>
      </c>
      <c r="O512">
        <v>5584</v>
      </c>
    </row>
    <row r="513" spans="1:15" x14ac:dyDescent="0.3">
      <c r="A513" t="s">
        <v>976</v>
      </c>
      <c r="B513" t="s">
        <v>1976</v>
      </c>
      <c r="C513" t="s">
        <v>2976</v>
      </c>
      <c r="D513" t="s">
        <v>3976</v>
      </c>
      <c r="E513" t="s">
        <v>4976</v>
      </c>
      <c r="F513">
        <v>37</v>
      </c>
      <c r="G513" t="s">
        <v>5016</v>
      </c>
      <c r="H513" t="s">
        <v>5018</v>
      </c>
      <c r="I513" t="s">
        <v>5024</v>
      </c>
      <c r="J513">
        <v>88085</v>
      </c>
      <c r="K513">
        <v>86</v>
      </c>
      <c r="L513" s="7">
        <v>45252</v>
      </c>
      <c r="M513" t="s">
        <v>5028</v>
      </c>
      <c r="N513">
        <v>8</v>
      </c>
      <c r="O513">
        <v>9111</v>
      </c>
    </row>
    <row r="514" spans="1:15" x14ac:dyDescent="0.3">
      <c r="A514" t="s">
        <v>615</v>
      </c>
      <c r="B514" t="s">
        <v>1615</v>
      </c>
      <c r="C514" t="s">
        <v>2615</v>
      </c>
      <c r="D514" t="s">
        <v>3615</v>
      </c>
      <c r="E514" t="s">
        <v>4615</v>
      </c>
      <c r="F514">
        <v>39</v>
      </c>
      <c r="G514" t="s">
        <v>5016</v>
      </c>
      <c r="H514" t="s">
        <v>5019</v>
      </c>
      <c r="I514" t="s">
        <v>5023</v>
      </c>
      <c r="J514">
        <v>88096</v>
      </c>
      <c r="K514">
        <v>79</v>
      </c>
      <c r="L514" s="7">
        <v>45238</v>
      </c>
      <c r="M514" t="s">
        <v>5029</v>
      </c>
      <c r="N514">
        <v>5</v>
      </c>
      <c r="O514">
        <v>6214</v>
      </c>
    </row>
    <row r="515" spans="1:15" x14ac:dyDescent="0.3">
      <c r="A515" t="s">
        <v>589</v>
      </c>
      <c r="B515" t="s">
        <v>1589</v>
      </c>
      <c r="C515" t="s">
        <v>2589</v>
      </c>
      <c r="D515" t="s">
        <v>3589</v>
      </c>
      <c r="E515" t="s">
        <v>4589</v>
      </c>
      <c r="F515">
        <v>18</v>
      </c>
      <c r="G515" t="s">
        <v>5016</v>
      </c>
      <c r="H515" t="s">
        <v>5022</v>
      </c>
      <c r="I515" t="s">
        <v>5026</v>
      </c>
      <c r="J515">
        <v>88314</v>
      </c>
      <c r="K515">
        <v>33</v>
      </c>
      <c r="L515" s="7">
        <v>45141</v>
      </c>
      <c r="M515" t="s">
        <v>5030</v>
      </c>
      <c r="N515">
        <v>8</v>
      </c>
      <c r="O515">
        <v>8161</v>
      </c>
    </row>
    <row r="516" spans="1:15" x14ac:dyDescent="0.3">
      <c r="A516" t="s">
        <v>686</v>
      </c>
      <c r="B516" t="s">
        <v>1686</v>
      </c>
      <c r="C516" t="s">
        <v>2686</v>
      </c>
      <c r="D516" t="s">
        <v>3686</v>
      </c>
      <c r="E516" t="s">
        <v>4686</v>
      </c>
      <c r="F516">
        <v>40</v>
      </c>
      <c r="G516" t="s">
        <v>5015</v>
      </c>
      <c r="H516" t="s">
        <v>5018</v>
      </c>
      <c r="I516" t="s">
        <v>5025</v>
      </c>
      <c r="J516">
        <v>88349</v>
      </c>
      <c r="K516">
        <v>72</v>
      </c>
      <c r="L516" s="7">
        <v>45266</v>
      </c>
      <c r="M516" t="s">
        <v>5029</v>
      </c>
      <c r="N516">
        <v>8</v>
      </c>
      <c r="O516">
        <v>2853</v>
      </c>
    </row>
    <row r="517" spans="1:15" x14ac:dyDescent="0.3">
      <c r="A517" t="s">
        <v>216</v>
      </c>
      <c r="B517" t="s">
        <v>1216</v>
      </c>
      <c r="C517" t="s">
        <v>2216</v>
      </c>
      <c r="D517" t="s">
        <v>3216</v>
      </c>
      <c r="E517" t="s">
        <v>4216</v>
      </c>
      <c r="F517">
        <v>18</v>
      </c>
      <c r="G517" t="s">
        <v>5015</v>
      </c>
      <c r="H517" t="s">
        <v>5022</v>
      </c>
      <c r="I517" t="s">
        <v>5025</v>
      </c>
      <c r="J517">
        <v>88600</v>
      </c>
      <c r="K517">
        <v>91</v>
      </c>
      <c r="L517" s="7">
        <v>45264</v>
      </c>
      <c r="M517" t="s">
        <v>5028</v>
      </c>
      <c r="N517">
        <v>9</v>
      </c>
      <c r="O517">
        <v>1939</v>
      </c>
    </row>
    <row r="518" spans="1:15" x14ac:dyDescent="0.3">
      <c r="A518" t="s">
        <v>145</v>
      </c>
      <c r="B518" t="s">
        <v>1145</v>
      </c>
      <c r="C518" t="s">
        <v>2145</v>
      </c>
      <c r="D518" t="s">
        <v>3145</v>
      </c>
      <c r="E518" t="s">
        <v>4145</v>
      </c>
      <c r="F518">
        <v>63</v>
      </c>
      <c r="G518" t="s">
        <v>5016</v>
      </c>
      <c r="H518" t="s">
        <v>5021</v>
      </c>
      <c r="I518" t="s">
        <v>5023</v>
      </c>
      <c r="J518">
        <v>88815</v>
      </c>
      <c r="K518">
        <v>75</v>
      </c>
      <c r="L518" s="7">
        <v>45267</v>
      </c>
      <c r="M518" t="s">
        <v>5029</v>
      </c>
      <c r="N518">
        <v>9</v>
      </c>
      <c r="O518">
        <v>9436</v>
      </c>
    </row>
    <row r="519" spans="1:15" x14ac:dyDescent="0.3">
      <c r="A519" t="s">
        <v>461</v>
      </c>
      <c r="B519" t="s">
        <v>1461</v>
      </c>
      <c r="C519" t="s">
        <v>2461</v>
      </c>
      <c r="D519" t="s">
        <v>3461</v>
      </c>
      <c r="E519" t="s">
        <v>4461</v>
      </c>
      <c r="F519">
        <v>63</v>
      </c>
      <c r="G519" t="s">
        <v>5016</v>
      </c>
      <c r="H519" t="s">
        <v>5021</v>
      </c>
      <c r="I519" t="s">
        <v>5025</v>
      </c>
      <c r="J519">
        <v>88863</v>
      </c>
      <c r="K519">
        <v>49</v>
      </c>
      <c r="L519" s="7">
        <v>44993</v>
      </c>
      <c r="M519" t="s">
        <v>5030</v>
      </c>
      <c r="N519">
        <v>8</v>
      </c>
      <c r="O519">
        <v>8044</v>
      </c>
    </row>
    <row r="520" spans="1:15" x14ac:dyDescent="0.3">
      <c r="A520" t="s">
        <v>814</v>
      </c>
      <c r="B520" t="s">
        <v>1814</v>
      </c>
      <c r="C520" t="s">
        <v>2814</v>
      </c>
      <c r="D520" t="s">
        <v>3814</v>
      </c>
      <c r="E520" t="s">
        <v>4814</v>
      </c>
      <c r="F520">
        <v>32</v>
      </c>
      <c r="G520" t="s">
        <v>5015</v>
      </c>
      <c r="H520" t="s">
        <v>5022</v>
      </c>
      <c r="I520" t="s">
        <v>5027</v>
      </c>
      <c r="J520">
        <v>89121</v>
      </c>
      <c r="K520">
        <v>75</v>
      </c>
      <c r="L520" s="7">
        <v>45232</v>
      </c>
      <c r="M520" t="s">
        <v>5028</v>
      </c>
      <c r="N520">
        <v>3</v>
      </c>
      <c r="O520">
        <v>7557</v>
      </c>
    </row>
    <row r="521" spans="1:15" x14ac:dyDescent="0.3">
      <c r="A521" t="s">
        <v>358</v>
      </c>
      <c r="B521" t="s">
        <v>1358</v>
      </c>
      <c r="C521" t="s">
        <v>2358</v>
      </c>
      <c r="D521" t="s">
        <v>3358</v>
      </c>
      <c r="E521" t="s">
        <v>4358</v>
      </c>
      <c r="F521">
        <v>64</v>
      </c>
      <c r="G521" t="s">
        <v>5017</v>
      </c>
      <c r="H521" t="s">
        <v>5021</v>
      </c>
      <c r="I521" t="s">
        <v>5025</v>
      </c>
      <c r="J521">
        <v>89133</v>
      </c>
      <c r="K521">
        <v>55</v>
      </c>
      <c r="L521" s="7">
        <v>44945</v>
      </c>
      <c r="M521" t="s">
        <v>5028</v>
      </c>
      <c r="N521">
        <v>2</v>
      </c>
      <c r="O521">
        <v>1598</v>
      </c>
    </row>
    <row r="522" spans="1:15" x14ac:dyDescent="0.3">
      <c r="A522" t="s">
        <v>420</v>
      </c>
      <c r="B522" t="s">
        <v>1420</v>
      </c>
      <c r="C522" t="s">
        <v>2420</v>
      </c>
      <c r="D522" t="s">
        <v>3420</v>
      </c>
      <c r="E522" t="s">
        <v>4420</v>
      </c>
      <c r="F522">
        <v>69</v>
      </c>
      <c r="G522" t="s">
        <v>5016</v>
      </c>
      <c r="H522" t="s">
        <v>5020</v>
      </c>
      <c r="I522" t="s">
        <v>5024</v>
      </c>
      <c r="J522">
        <v>89384</v>
      </c>
      <c r="K522">
        <v>84</v>
      </c>
      <c r="L522" s="7">
        <v>45010</v>
      </c>
      <c r="M522" t="s">
        <v>5028</v>
      </c>
      <c r="N522">
        <v>7</v>
      </c>
      <c r="O522">
        <v>3712</v>
      </c>
    </row>
    <row r="523" spans="1:15" x14ac:dyDescent="0.3">
      <c r="A523" t="s">
        <v>416</v>
      </c>
      <c r="B523" t="s">
        <v>1416</v>
      </c>
      <c r="C523" t="s">
        <v>2416</v>
      </c>
      <c r="D523" t="s">
        <v>3416</v>
      </c>
      <c r="E523" t="s">
        <v>4416</v>
      </c>
      <c r="F523">
        <v>31</v>
      </c>
      <c r="G523" t="s">
        <v>5017</v>
      </c>
      <c r="H523" t="s">
        <v>5021</v>
      </c>
      <c r="I523" t="s">
        <v>5023</v>
      </c>
      <c r="J523">
        <v>89435</v>
      </c>
      <c r="K523">
        <v>11</v>
      </c>
      <c r="L523" s="7">
        <v>45144</v>
      </c>
      <c r="M523" t="s">
        <v>5029</v>
      </c>
      <c r="N523">
        <v>1</v>
      </c>
      <c r="O523">
        <v>8822</v>
      </c>
    </row>
    <row r="524" spans="1:15" x14ac:dyDescent="0.3">
      <c r="A524" t="s">
        <v>948</v>
      </c>
      <c r="B524" t="s">
        <v>1948</v>
      </c>
      <c r="C524" t="s">
        <v>2948</v>
      </c>
      <c r="D524" t="s">
        <v>3948</v>
      </c>
      <c r="E524" t="s">
        <v>4948</v>
      </c>
      <c r="F524">
        <v>35</v>
      </c>
      <c r="G524" t="s">
        <v>5016</v>
      </c>
      <c r="H524" t="s">
        <v>5019</v>
      </c>
      <c r="I524" t="s">
        <v>5026</v>
      </c>
      <c r="J524">
        <v>89521</v>
      </c>
      <c r="K524">
        <v>57</v>
      </c>
      <c r="L524" s="7">
        <v>45040</v>
      </c>
      <c r="M524" t="s">
        <v>5028</v>
      </c>
      <c r="N524">
        <v>8</v>
      </c>
      <c r="O524">
        <v>1601</v>
      </c>
    </row>
    <row r="525" spans="1:15" x14ac:dyDescent="0.3">
      <c r="A525" t="s">
        <v>899</v>
      </c>
      <c r="B525" t="s">
        <v>1899</v>
      </c>
      <c r="C525" t="s">
        <v>2899</v>
      </c>
      <c r="D525" t="s">
        <v>3899</v>
      </c>
      <c r="E525" t="s">
        <v>4899</v>
      </c>
      <c r="F525">
        <v>24</v>
      </c>
      <c r="G525" t="s">
        <v>5015</v>
      </c>
      <c r="H525" t="s">
        <v>5020</v>
      </c>
      <c r="I525" t="s">
        <v>5025</v>
      </c>
      <c r="J525">
        <v>89582</v>
      </c>
      <c r="K525">
        <v>13</v>
      </c>
      <c r="L525" s="7">
        <v>44969</v>
      </c>
      <c r="M525" t="s">
        <v>5029</v>
      </c>
      <c r="N525">
        <v>9</v>
      </c>
      <c r="O525">
        <v>5224</v>
      </c>
    </row>
    <row r="526" spans="1:15" x14ac:dyDescent="0.3">
      <c r="A526" t="s">
        <v>168</v>
      </c>
      <c r="B526" t="s">
        <v>1168</v>
      </c>
      <c r="C526" t="s">
        <v>2168</v>
      </c>
      <c r="D526" t="s">
        <v>3168</v>
      </c>
      <c r="E526" t="s">
        <v>4168</v>
      </c>
      <c r="F526">
        <v>53</v>
      </c>
      <c r="G526" t="s">
        <v>5015</v>
      </c>
      <c r="H526" t="s">
        <v>5019</v>
      </c>
      <c r="I526" t="s">
        <v>5026</v>
      </c>
      <c r="J526">
        <v>89673</v>
      </c>
      <c r="K526">
        <v>36</v>
      </c>
      <c r="L526" s="7">
        <v>44960</v>
      </c>
      <c r="M526" t="s">
        <v>5029</v>
      </c>
      <c r="N526">
        <v>10</v>
      </c>
      <c r="O526">
        <v>3606</v>
      </c>
    </row>
    <row r="527" spans="1:15" x14ac:dyDescent="0.3">
      <c r="A527" t="s">
        <v>528</v>
      </c>
      <c r="B527" t="s">
        <v>1528</v>
      </c>
      <c r="C527" t="s">
        <v>2528</v>
      </c>
      <c r="D527" t="s">
        <v>3528</v>
      </c>
      <c r="E527" t="s">
        <v>4528</v>
      </c>
      <c r="F527">
        <v>18</v>
      </c>
      <c r="G527" t="s">
        <v>5016</v>
      </c>
      <c r="H527" t="s">
        <v>5020</v>
      </c>
      <c r="I527" t="s">
        <v>5023</v>
      </c>
      <c r="J527">
        <v>89945</v>
      </c>
      <c r="K527">
        <v>77</v>
      </c>
      <c r="L527" s="7">
        <v>45288</v>
      </c>
      <c r="M527" t="s">
        <v>5028</v>
      </c>
      <c r="N527">
        <v>9</v>
      </c>
      <c r="O527">
        <v>9872</v>
      </c>
    </row>
    <row r="528" spans="1:15" x14ac:dyDescent="0.3">
      <c r="A528" t="s">
        <v>498</v>
      </c>
      <c r="B528" t="s">
        <v>1498</v>
      </c>
      <c r="C528" t="s">
        <v>2498</v>
      </c>
      <c r="D528" t="s">
        <v>3498</v>
      </c>
      <c r="E528" t="s">
        <v>4498</v>
      </c>
      <c r="F528">
        <v>18</v>
      </c>
      <c r="G528" t="s">
        <v>5015</v>
      </c>
      <c r="H528" t="s">
        <v>5018</v>
      </c>
      <c r="I528" t="s">
        <v>5023</v>
      </c>
      <c r="J528">
        <v>90112</v>
      </c>
      <c r="K528">
        <v>9</v>
      </c>
      <c r="L528" s="7">
        <v>45160</v>
      </c>
      <c r="M528" t="s">
        <v>5029</v>
      </c>
      <c r="N528">
        <v>10</v>
      </c>
      <c r="O528">
        <v>140</v>
      </c>
    </row>
    <row r="529" spans="1:15" x14ac:dyDescent="0.3">
      <c r="A529" t="s">
        <v>829</v>
      </c>
      <c r="B529" t="s">
        <v>1829</v>
      </c>
      <c r="C529" t="s">
        <v>2829</v>
      </c>
      <c r="D529" t="s">
        <v>3829</v>
      </c>
      <c r="E529" t="s">
        <v>4829</v>
      </c>
      <c r="F529">
        <v>50</v>
      </c>
      <c r="G529" t="s">
        <v>5016</v>
      </c>
      <c r="H529" t="s">
        <v>5018</v>
      </c>
      <c r="I529" t="s">
        <v>5026</v>
      </c>
      <c r="J529">
        <v>90266</v>
      </c>
      <c r="K529">
        <v>18</v>
      </c>
      <c r="L529" s="7">
        <v>45061</v>
      </c>
      <c r="M529" t="s">
        <v>5028</v>
      </c>
      <c r="N529">
        <v>7</v>
      </c>
      <c r="O529">
        <v>1560</v>
      </c>
    </row>
    <row r="530" spans="1:15" x14ac:dyDescent="0.3">
      <c r="A530" t="s">
        <v>608</v>
      </c>
      <c r="B530" t="s">
        <v>1608</v>
      </c>
      <c r="C530" t="s">
        <v>2608</v>
      </c>
      <c r="D530" t="s">
        <v>3608</v>
      </c>
      <c r="E530" t="s">
        <v>4608</v>
      </c>
      <c r="F530">
        <v>58</v>
      </c>
      <c r="G530" t="s">
        <v>5016</v>
      </c>
      <c r="H530" t="s">
        <v>5020</v>
      </c>
      <c r="I530" t="s">
        <v>5026</v>
      </c>
      <c r="J530">
        <v>90281</v>
      </c>
      <c r="K530">
        <v>89</v>
      </c>
      <c r="L530" s="7">
        <v>45202</v>
      </c>
      <c r="M530" t="s">
        <v>5028</v>
      </c>
      <c r="N530">
        <v>10</v>
      </c>
      <c r="O530">
        <v>3787</v>
      </c>
    </row>
    <row r="531" spans="1:15" x14ac:dyDescent="0.3">
      <c r="A531" t="s">
        <v>472</v>
      </c>
      <c r="B531" t="s">
        <v>1472</v>
      </c>
      <c r="C531" t="s">
        <v>2472</v>
      </c>
      <c r="D531" t="s">
        <v>3472</v>
      </c>
      <c r="E531" t="s">
        <v>4472</v>
      </c>
      <c r="F531">
        <v>28</v>
      </c>
      <c r="G531" t="s">
        <v>5015</v>
      </c>
      <c r="H531" t="s">
        <v>5018</v>
      </c>
      <c r="I531" t="s">
        <v>5024</v>
      </c>
      <c r="J531">
        <v>90492</v>
      </c>
      <c r="K531">
        <v>5</v>
      </c>
      <c r="L531" s="7">
        <v>45240</v>
      </c>
      <c r="M531" t="s">
        <v>5028</v>
      </c>
      <c r="N531">
        <v>2</v>
      </c>
      <c r="O531">
        <v>7206</v>
      </c>
    </row>
    <row r="532" spans="1:15" x14ac:dyDescent="0.3">
      <c r="A532" t="s">
        <v>597</v>
      </c>
      <c r="B532" t="s">
        <v>1597</v>
      </c>
      <c r="C532" t="s">
        <v>2597</v>
      </c>
      <c r="D532" t="s">
        <v>3597</v>
      </c>
      <c r="E532" t="s">
        <v>4597</v>
      </c>
      <c r="F532">
        <v>24</v>
      </c>
      <c r="G532" t="s">
        <v>5015</v>
      </c>
      <c r="H532" t="s">
        <v>5020</v>
      </c>
      <c r="I532" t="s">
        <v>5023</v>
      </c>
      <c r="J532">
        <v>90537</v>
      </c>
      <c r="K532">
        <v>43</v>
      </c>
      <c r="L532" s="7">
        <v>45091</v>
      </c>
      <c r="M532" t="s">
        <v>5028</v>
      </c>
      <c r="N532">
        <v>9</v>
      </c>
      <c r="O532">
        <v>5917</v>
      </c>
    </row>
    <row r="533" spans="1:15" x14ac:dyDescent="0.3">
      <c r="A533" t="s">
        <v>510</v>
      </c>
      <c r="B533" t="s">
        <v>1510</v>
      </c>
      <c r="C533" t="s">
        <v>2510</v>
      </c>
      <c r="D533" t="s">
        <v>3510</v>
      </c>
      <c r="E533" t="s">
        <v>4510</v>
      </c>
      <c r="F533">
        <v>65</v>
      </c>
      <c r="G533" t="s">
        <v>5017</v>
      </c>
      <c r="H533" t="s">
        <v>5018</v>
      </c>
      <c r="I533" t="s">
        <v>5027</v>
      </c>
      <c r="J533">
        <v>91039</v>
      </c>
      <c r="K533">
        <v>89</v>
      </c>
      <c r="L533" s="7">
        <v>45045</v>
      </c>
      <c r="M533" t="s">
        <v>5029</v>
      </c>
      <c r="N533">
        <v>6</v>
      </c>
      <c r="O533">
        <v>6330</v>
      </c>
    </row>
    <row r="534" spans="1:15" x14ac:dyDescent="0.3">
      <c r="A534" t="s">
        <v>296</v>
      </c>
      <c r="B534" t="s">
        <v>1296</v>
      </c>
      <c r="C534" t="s">
        <v>2296</v>
      </c>
      <c r="D534" t="s">
        <v>3296</v>
      </c>
      <c r="E534" t="s">
        <v>4296</v>
      </c>
      <c r="F534">
        <v>68</v>
      </c>
      <c r="G534" t="s">
        <v>5017</v>
      </c>
      <c r="H534" t="s">
        <v>5021</v>
      </c>
      <c r="I534" t="s">
        <v>5023</v>
      </c>
      <c r="J534">
        <v>91092</v>
      </c>
      <c r="K534">
        <v>30</v>
      </c>
      <c r="L534" s="7">
        <v>45050</v>
      </c>
      <c r="M534" t="s">
        <v>5029</v>
      </c>
      <c r="N534">
        <v>9</v>
      </c>
      <c r="O534">
        <v>2599</v>
      </c>
    </row>
    <row r="535" spans="1:15" x14ac:dyDescent="0.3">
      <c r="A535" t="s">
        <v>794</v>
      </c>
      <c r="B535" t="s">
        <v>1794</v>
      </c>
      <c r="C535" t="s">
        <v>2794</v>
      </c>
      <c r="D535" t="s">
        <v>3794</v>
      </c>
      <c r="E535" t="s">
        <v>4794</v>
      </c>
      <c r="F535">
        <v>68</v>
      </c>
      <c r="G535" t="s">
        <v>5017</v>
      </c>
      <c r="H535" t="s">
        <v>5020</v>
      </c>
      <c r="I535" t="s">
        <v>5024</v>
      </c>
      <c r="J535">
        <v>91112</v>
      </c>
      <c r="K535">
        <v>23</v>
      </c>
      <c r="L535" s="7">
        <v>45024</v>
      </c>
      <c r="M535" t="s">
        <v>5029</v>
      </c>
      <c r="N535">
        <v>10</v>
      </c>
      <c r="O535">
        <v>8577</v>
      </c>
    </row>
    <row r="536" spans="1:15" x14ac:dyDescent="0.3">
      <c r="A536" t="s">
        <v>854</v>
      </c>
      <c r="B536" t="s">
        <v>1854</v>
      </c>
      <c r="C536" t="s">
        <v>2854</v>
      </c>
      <c r="D536" t="s">
        <v>3854</v>
      </c>
      <c r="E536" t="s">
        <v>4854</v>
      </c>
      <c r="F536">
        <v>50</v>
      </c>
      <c r="G536" t="s">
        <v>5017</v>
      </c>
      <c r="H536" t="s">
        <v>5022</v>
      </c>
      <c r="I536" t="s">
        <v>5024</v>
      </c>
      <c r="J536">
        <v>91349</v>
      </c>
      <c r="K536">
        <v>16</v>
      </c>
      <c r="L536" s="7">
        <v>44948</v>
      </c>
      <c r="M536" t="s">
        <v>5028</v>
      </c>
      <c r="N536">
        <v>3</v>
      </c>
      <c r="O536">
        <v>7175</v>
      </c>
    </row>
    <row r="537" spans="1:15" x14ac:dyDescent="0.3">
      <c r="A537" t="s">
        <v>304</v>
      </c>
      <c r="B537" t="s">
        <v>1304</v>
      </c>
      <c r="C537" t="s">
        <v>2304</v>
      </c>
      <c r="D537" t="s">
        <v>3304</v>
      </c>
      <c r="E537" t="s">
        <v>4304</v>
      </c>
      <c r="F537">
        <v>30</v>
      </c>
      <c r="G537" t="s">
        <v>5016</v>
      </c>
      <c r="H537" t="s">
        <v>5022</v>
      </c>
      <c r="I537" t="s">
        <v>5024</v>
      </c>
      <c r="J537">
        <v>91424</v>
      </c>
      <c r="K537">
        <v>10</v>
      </c>
      <c r="L537" s="7">
        <v>45022</v>
      </c>
      <c r="M537" t="s">
        <v>5029</v>
      </c>
      <c r="N537">
        <v>10</v>
      </c>
      <c r="O537">
        <v>7183</v>
      </c>
    </row>
    <row r="538" spans="1:15" x14ac:dyDescent="0.3">
      <c r="A538" t="s">
        <v>568</v>
      </c>
      <c r="B538" t="s">
        <v>1568</v>
      </c>
      <c r="C538" t="s">
        <v>2568</v>
      </c>
      <c r="D538" t="s">
        <v>3568</v>
      </c>
      <c r="E538" t="s">
        <v>4568</v>
      </c>
      <c r="F538">
        <v>53</v>
      </c>
      <c r="G538" t="s">
        <v>5016</v>
      </c>
      <c r="H538" t="s">
        <v>5018</v>
      </c>
      <c r="I538" t="s">
        <v>5024</v>
      </c>
      <c r="J538">
        <v>91572</v>
      </c>
      <c r="K538">
        <v>83</v>
      </c>
      <c r="L538" s="7">
        <v>45085</v>
      </c>
      <c r="M538" t="s">
        <v>5029</v>
      </c>
      <c r="N538">
        <v>2</v>
      </c>
      <c r="O538">
        <v>7890</v>
      </c>
    </row>
    <row r="539" spans="1:15" x14ac:dyDescent="0.3">
      <c r="A539" t="s">
        <v>963</v>
      </c>
      <c r="B539" t="s">
        <v>1963</v>
      </c>
      <c r="C539" t="s">
        <v>2963</v>
      </c>
      <c r="D539" t="s">
        <v>3963</v>
      </c>
      <c r="E539" t="s">
        <v>4963</v>
      </c>
      <c r="F539">
        <v>35</v>
      </c>
      <c r="G539" t="s">
        <v>5016</v>
      </c>
      <c r="H539" t="s">
        <v>5021</v>
      </c>
      <c r="I539" t="s">
        <v>5027</v>
      </c>
      <c r="J539">
        <v>91710</v>
      </c>
      <c r="K539">
        <v>23</v>
      </c>
      <c r="L539" s="7">
        <v>44946</v>
      </c>
      <c r="M539" t="s">
        <v>5028</v>
      </c>
      <c r="N539">
        <v>2</v>
      </c>
      <c r="O539">
        <v>1251</v>
      </c>
    </row>
    <row r="540" spans="1:15" x14ac:dyDescent="0.3">
      <c r="A540" t="s">
        <v>774</v>
      </c>
      <c r="B540" t="s">
        <v>1774</v>
      </c>
      <c r="C540" t="s">
        <v>2774</v>
      </c>
      <c r="D540" t="s">
        <v>3774</v>
      </c>
      <c r="E540" t="s">
        <v>4774</v>
      </c>
      <c r="F540">
        <v>56</v>
      </c>
      <c r="G540" t="s">
        <v>5016</v>
      </c>
      <c r="H540" t="s">
        <v>5022</v>
      </c>
      <c r="I540" t="s">
        <v>5025</v>
      </c>
      <c r="J540">
        <v>92064</v>
      </c>
      <c r="K540">
        <v>85</v>
      </c>
      <c r="L540" s="7">
        <v>45086</v>
      </c>
      <c r="M540" t="s">
        <v>5029</v>
      </c>
      <c r="N540">
        <v>2</v>
      </c>
      <c r="O540">
        <v>9778</v>
      </c>
    </row>
    <row r="541" spans="1:15" x14ac:dyDescent="0.3">
      <c r="A541" t="s">
        <v>42</v>
      </c>
      <c r="B541" t="s">
        <v>1042</v>
      </c>
      <c r="C541" t="s">
        <v>2042</v>
      </c>
      <c r="D541" t="s">
        <v>3042</v>
      </c>
      <c r="E541" t="s">
        <v>4042</v>
      </c>
      <c r="F541">
        <v>52</v>
      </c>
      <c r="G541" t="s">
        <v>5017</v>
      </c>
      <c r="H541" t="s">
        <v>5022</v>
      </c>
      <c r="I541" t="s">
        <v>5023</v>
      </c>
      <c r="J541">
        <v>92177</v>
      </c>
      <c r="K541">
        <v>51</v>
      </c>
      <c r="L541" s="7">
        <v>45071</v>
      </c>
      <c r="M541" t="s">
        <v>5029</v>
      </c>
      <c r="N541">
        <v>9</v>
      </c>
      <c r="O541">
        <v>9678</v>
      </c>
    </row>
    <row r="542" spans="1:15" x14ac:dyDescent="0.3">
      <c r="A542" t="s">
        <v>308</v>
      </c>
      <c r="B542" t="s">
        <v>1308</v>
      </c>
      <c r="C542" t="s">
        <v>2308</v>
      </c>
      <c r="D542" t="s">
        <v>3308</v>
      </c>
      <c r="E542" t="s">
        <v>4308</v>
      </c>
      <c r="F542">
        <v>63</v>
      </c>
      <c r="G542" t="s">
        <v>5016</v>
      </c>
      <c r="H542" t="s">
        <v>5020</v>
      </c>
      <c r="I542" t="s">
        <v>5026</v>
      </c>
      <c r="J542">
        <v>92212</v>
      </c>
      <c r="K542">
        <v>24</v>
      </c>
      <c r="L542" s="7">
        <v>45044</v>
      </c>
      <c r="M542" t="s">
        <v>5030</v>
      </c>
      <c r="N542">
        <v>10</v>
      </c>
      <c r="O542">
        <v>3843</v>
      </c>
    </row>
    <row r="543" spans="1:15" x14ac:dyDescent="0.3">
      <c r="A543" t="s">
        <v>418</v>
      </c>
      <c r="B543" t="s">
        <v>1418</v>
      </c>
      <c r="C543" t="s">
        <v>2418</v>
      </c>
      <c r="D543" t="s">
        <v>3418</v>
      </c>
      <c r="E543" t="s">
        <v>4418</v>
      </c>
      <c r="F543">
        <v>22</v>
      </c>
      <c r="G543" t="s">
        <v>5015</v>
      </c>
      <c r="H543" t="s">
        <v>5020</v>
      </c>
      <c r="I543" t="s">
        <v>5023</v>
      </c>
      <c r="J543">
        <v>92212</v>
      </c>
      <c r="K543">
        <v>93</v>
      </c>
      <c r="L543" s="7">
        <v>45135</v>
      </c>
      <c r="M543" t="s">
        <v>5030</v>
      </c>
      <c r="N543">
        <v>1</v>
      </c>
      <c r="O543">
        <v>1233</v>
      </c>
    </row>
    <row r="544" spans="1:15" x14ac:dyDescent="0.3">
      <c r="A544" t="s">
        <v>860</v>
      </c>
      <c r="B544" t="s">
        <v>1860</v>
      </c>
      <c r="C544" t="s">
        <v>2860</v>
      </c>
      <c r="D544" t="s">
        <v>3860</v>
      </c>
      <c r="E544" t="s">
        <v>4860</v>
      </c>
      <c r="F544">
        <v>59</v>
      </c>
      <c r="G544" t="s">
        <v>5015</v>
      </c>
      <c r="H544" t="s">
        <v>5022</v>
      </c>
      <c r="I544" t="s">
        <v>5024</v>
      </c>
      <c r="J544">
        <v>92399</v>
      </c>
      <c r="K544">
        <v>80</v>
      </c>
      <c r="L544" s="7">
        <v>45033</v>
      </c>
      <c r="M544" t="s">
        <v>5028</v>
      </c>
      <c r="N544">
        <v>9</v>
      </c>
      <c r="O544">
        <v>4770</v>
      </c>
    </row>
    <row r="545" spans="1:15" x14ac:dyDescent="0.3">
      <c r="A545" t="s">
        <v>323</v>
      </c>
      <c r="B545" t="s">
        <v>1323</v>
      </c>
      <c r="C545" t="s">
        <v>2323</v>
      </c>
      <c r="D545" t="s">
        <v>3323</v>
      </c>
      <c r="E545" t="s">
        <v>4323</v>
      </c>
      <c r="F545">
        <v>24</v>
      </c>
      <c r="G545" t="s">
        <v>5016</v>
      </c>
      <c r="H545" t="s">
        <v>5022</v>
      </c>
      <c r="I545" t="s">
        <v>5027</v>
      </c>
      <c r="J545">
        <v>92554</v>
      </c>
      <c r="K545">
        <v>69</v>
      </c>
      <c r="L545" s="7">
        <v>45069</v>
      </c>
      <c r="M545" t="s">
        <v>5028</v>
      </c>
      <c r="N545">
        <v>4</v>
      </c>
      <c r="O545">
        <v>4067</v>
      </c>
    </row>
    <row r="546" spans="1:15" x14ac:dyDescent="0.3">
      <c r="A546" t="s">
        <v>331</v>
      </c>
      <c r="B546" t="s">
        <v>1331</v>
      </c>
      <c r="C546" t="s">
        <v>2331</v>
      </c>
      <c r="D546" t="s">
        <v>3331</v>
      </c>
      <c r="E546" t="s">
        <v>4331</v>
      </c>
      <c r="F546">
        <v>35</v>
      </c>
      <c r="G546" t="s">
        <v>5017</v>
      </c>
      <c r="H546" t="s">
        <v>5019</v>
      </c>
      <c r="I546" t="s">
        <v>5023</v>
      </c>
      <c r="J546">
        <v>92786</v>
      </c>
      <c r="K546">
        <v>28</v>
      </c>
      <c r="L546" s="7">
        <v>44942</v>
      </c>
      <c r="M546" t="s">
        <v>5028</v>
      </c>
      <c r="N546">
        <v>10</v>
      </c>
      <c r="O546">
        <v>3490</v>
      </c>
    </row>
    <row r="547" spans="1:15" x14ac:dyDescent="0.3">
      <c r="A547" t="s">
        <v>484</v>
      </c>
      <c r="B547" t="s">
        <v>1484</v>
      </c>
      <c r="C547" t="s">
        <v>2484</v>
      </c>
      <c r="D547" t="s">
        <v>3484</v>
      </c>
      <c r="E547" t="s">
        <v>4484</v>
      </c>
      <c r="F547">
        <v>65</v>
      </c>
      <c r="G547" t="s">
        <v>5016</v>
      </c>
      <c r="H547" t="s">
        <v>5020</v>
      </c>
      <c r="I547" t="s">
        <v>5023</v>
      </c>
      <c r="J547">
        <v>92878</v>
      </c>
      <c r="K547">
        <v>58</v>
      </c>
      <c r="L547" s="7">
        <v>45102</v>
      </c>
      <c r="M547" t="s">
        <v>5028</v>
      </c>
      <c r="N547">
        <v>7</v>
      </c>
      <c r="O547">
        <v>2336</v>
      </c>
    </row>
    <row r="548" spans="1:15" x14ac:dyDescent="0.3">
      <c r="A548" t="s">
        <v>931</v>
      </c>
      <c r="B548" t="s">
        <v>1931</v>
      </c>
      <c r="C548" t="s">
        <v>2931</v>
      </c>
      <c r="D548" t="s">
        <v>3931</v>
      </c>
      <c r="E548" t="s">
        <v>4931</v>
      </c>
      <c r="F548">
        <v>41</v>
      </c>
      <c r="G548" t="s">
        <v>5017</v>
      </c>
      <c r="H548" t="s">
        <v>5018</v>
      </c>
      <c r="I548" t="s">
        <v>5024</v>
      </c>
      <c r="J548">
        <v>93019</v>
      </c>
      <c r="K548">
        <v>2</v>
      </c>
      <c r="L548" s="7">
        <v>44935</v>
      </c>
      <c r="M548" t="s">
        <v>5028</v>
      </c>
      <c r="N548">
        <v>6</v>
      </c>
      <c r="O548">
        <v>8903</v>
      </c>
    </row>
    <row r="549" spans="1:15" x14ac:dyDescent="0.3">
      <c r="A549" t="s">
        <v>345</v>
      </c>
      <c r="B549" t="s">
        <v>1345</v>
      </c>
      <c r="C549" t="s">
        <v>2345</v>
      </c>
      <c r="D549" t="s">
        <v>3345</v>
      </c>
      <c r="E549" t="s">
        <v>4345</v>
      </c>
      <c r="F549">
        <v>50</v>
      </c>
      <c r="G549" t="s">
        <v>5016</v>
      </c>
      <c r="H549" t="s">
        <v>5022</v>
      </c>
      <c r="I549" t="s">
        <v>5023</v>
      </c>
      <c r="J549">
        <v>93039</v>
      </c>
      <c r="K549">
        <v>15</v>
      </c>
      <c r="L549" s="7">
        <v>45179</v>
      </c>
      <c r="M549" t="s">
        <v>5030</v>
      </c>
      <c r="N549">
        <v>3</v>
      </c>
      <c r="O549">
        <v>6935</v>
      </c>
    </row>
    <row r="550" spans="1:15" x14ac:dyDescent="0.3">
      <c r="A550" t="s">
        <v>600</v>
      </c>
      <c r="B550" t="s">
        <v>1600</v>
      </c>
      <c r="C550" t="s">
        <v>2600</v>
      </c>
      <c r="D550" t="s">
        <v>3600</v>
      </c>
      <c r="E550" t="s">
        <v>4600</v>
      </c>
      <c r="F550">
        <v>28</v>
      </c>
      <c r="G550" t="s">
        <v>5016</v>
      </c>
      <c r="H550" t="s">
        <v>5019</v>
      </c>
      <c r="I550" t="s">
        <v>5024</v>
      </c>
      <c r="J550">
        <v>93059</v>
      </c>
      <c r="K550">
        <v>43</v>
      </c>
      <c r="L550" s="7">
        <v>45248</v>
      </c>
      <c r="M550" t="s">
        <v>5028</v>
      </c>
      <c r="N550">
        <v>2</v>
      </c>
      <c r="O550">
        <v>1915</v>
      </c>
    </row>
    <row r="551" spans="1:15" x14ac:dyDescent="0.3">
      <c r="A551" t="s">
        <v>291</v>
      </c>
      <c r="B551" t="s">
        <v>1291</v>
      </c>
      <c r="C551" t="s">
        <v>2291</v>
      </c>
      <c r="D551" t="s">
        <v>3291</v>
      </c>
      <c r="E551" t="s">
        <v>4291</v>
      </c>
      <c r="F551">
        <v>31</v>
      </c>
      <c r="G551" t="s">
        <v>5015</v>
      </c>
      <c r="H551" t="s">
        <v>5020</v>
      </c>
      <c r="I551" t="s">
        <v>5024</v>
      </c>
      <c r="J551">
        <v>93209</v>
      </c>
      <c r="K551">
        <v>17</v>
      </c>
      <c r="L551" s="7">
        <v>45234</v>
      </c>
      <c r="M551" t="s">
        <v>5029</v>
      </c>
      <c r="N551">
        <v>6</v>
      </c>
      <c r="O551">
        <v>7218</v>
      </c>
    </row>
    <row r="552" spans="1:15" x14ac:dyDescent="0.3">
      <c r="A552" t="s">
        <v>171</v>
      </c>
      <c r="B552" t="s">
        <v>1171</v>
      </c>
      <c r="C552" t="s">
        <v>2171</v>
      </c>
      <c r="D552" t="s">
        <v>3171</v>
      </c>
      <c r="E552" t="s">
        <v>4171</v>
      </c>
      <c r="F552">
        <v>45</v>
      </c>
      <c r="G552" t="s">
        <v>5016</v>
      </c>
      <c r="H552" t="s">
        <v>5018</v>
      </c>
      <c r="I552" t="s">
        <v>5024</v>
      </c>
      <c r="J552">
        <v>93253</v>
      </c>
      <c r="K552">
        <v>5</v>
      </c>
      <c r="L552" s="7">
        <v>44982</v>
      </c>
      <c r="M552" t="s">
        <v>5028</v>
      </c>
      <c r="N552">
        <v>2</v>
      </c>
      <c r="O552">
        <v>9572</v>
      </c>
    </row>
    <row r="553" spans="1:15" x14ac:dyDescent="0.3">
      <c r="A553" t="s">
        <v>509</v>
      </c>
      <c r="B553" t="s">
        <v>1509</v>
      </c>
      <c r="C553" t="s">
        <v>2509</v>
      </c>
      <c r="D553" t="s">
        <v>3509</v>
      </c>
      <c r="E553" t="s">
        <v>4509</v>
      </c>
      <c r="F553">
        <v>58</v>
      </c>
      <c r="G553" t="s">
        <v>5017</v>
      </c>
      <c r="H553" t="s">
        <v>5020</v>
      </c>
      <c r="I553" t="s">
        <v>5025</v>
      </c>
      <c r="J553">
        <v>93381</v>
      </c>
      <c r="K553">
        <v>76</v>
      </c>
      <c r="L553" s="7">
        <v>45135</v>
      </c>
      <c r="M553" t="s">
        <v>5028</v>
      </c>
      <c r="N553">
        <v>3</v>
      </c>
      <c r="O553">
        <v>8078</v>
      </c>
    </row>
    <row r="554" spans="1:15" x14ac:dyDescent="0.3">
      <c r="A554" t="s">
        <v>458</v>
      </c>
      <c r="B554" t="s">
        <v>1458</v>
      </c>
      <c r="C554" t="s">
        <v>2458</v>
      </c>
      <c r="D554" t="s">
        <v>3458</v>
      </c>
      <c r="E554" t="s">
        <v>4458</v>
      </c>
      <c r="F554">
        <v>21</v>
      </c>
      <c r="G554" t="s">
        <v>5015</v>
      </c>
      <c r="H554" t="s">
        <v>5018</v>
      </c>
      <c r="I554" t="s">
        <v>5026</v>
      </c>
      <c r="J554">
        <v>93776</v>
      </c>
      <c r="K554">
        <v>85</v>
      </c>
      <c r="L554" s="7">
        <v>45245</v>
      </c>
      <c r="M554" t="s">
        <v>5030</v>
      </c>
      <c r="N554">
        <v>8</v>
      </c>
      <c r="O554">
        <v>8817</v>
      </c>
    </row>
    <row r="555" spans="1:15" x14ac:dyDescent="0.3">
      <c r="A555" t="s">
        <v>144</v>
      </c>
      <c r="B555" t="s">
        <v>1144</v>
      </c>
      <c r="C555" t="s">
        <v>2144</v>
      </c>
      <c r="D555" t="s">
        <v>3144</v>
      </c>
      <c r="E555" t="s">
        <v>4144</v>
      </c>
      <c r="F555">
        <v>31</v>
      </c>
      <c r="G555" t="s">
        <v>5015</v>
      </c>
      <c r="H555" t="s">
        <v>5021</v>
      </c>
      <c r="I555" t="s">
        <v>5027</v>
      </c>
      <c r="J555">
        <v>93783</v>
      </c>
      <c r="K555">
        <v>51</v>
      </c>
      <c r="L555" s="7">
        <v>45055</v>
      </c>
      <c r="M555" t="s">
        <v>5030</v>
      </c>
      <c r="N555">
        <v>6</v>
      </c>
      <c r="O555">
        <v>8036</v>
      </c>
    </row>
    <row r="556" spans="1:15" x14ac:dyDescent="0.3">
      <c r="A556" t="s">
        <v>533</v>
      </c>
      <c r="B556" t="s">
        <v>1533</v>
      </c>
      <c r="C556" t="s">
        <v>2533</v>
      </c>
      <c r="D556" t="s">
        <v>3533</v>
      </c>
      <c r="E556" t="s">
        <v>4533</v>
      </c>
      <c r="F556">
        <v>30</v>
      </c>
      <c r="G556" t="s">
        <v>5016</v>
      </c>
      <c r="H556" t="s">
        <v>5018</v>
      </c>
      <c r="I556" t="s">
        <v>5026</v>
      </c>
      <c r="J556">
        <v>93995</v>
      </c>
      <c r="K556">
        <v>74</v>
      </c>
      <c r="L556" s="7">
        <v>45025</v>
      </c>
      <c r="M556" t="s">
        <v>5030</v>
      </c>
      <c r="N556">
        <v>1</v>
      </c>
      <c r="O556">
        <v>5738</v>
      </c>
    </row>
    <row r="557" spans="1:15" x14ac:dyDescent="0.3">
      <c r="A557" t="s">
        <v>780</v>
      </c>
      <c r="B557" t="s">
        <v>1780</v>
      </c>
      <c r="C557" t="s">
        <v>2780</v>
      </c>
      <c r="D557" t="s">
        <v>3780</v>
      </c>
      <c r="E557" t="s">
        <v>4780</v>
      </c>
      <c r="F557">
        <v>56</v>
      </c>
      <c r="G557" t="s">
        <v>5015</v>
      </c>
      <c r="H557" t="s">
        <v>5021</v>
      </c>
      <c r="I557" t="s">
        <v>5026</v>
      </c>
      <c r="J557">
        <v>94047</v>
      </c>
      <c r="K557">
        <v>57</v>
      </c>
      <c r="L557" s="7">
        <v>45137</v>
      </c>
      <c r="M557" t="s">
        <v>5028</v>
      </c>
      <c r="N557">
        <v>10</v>
      </c>
      <c r="O557">
        <v>4455</v>
      </c>
    </row>
    <row r="558" spans="1:15" x14ac:dyDescent="0.3">
      <c r="A558" t="s">
        <v>101</v>
      </c>
      <c r="B558" t="s">
        <v>1101</v>
      </c>
      <c r="C558" t="s">
        <v>2101</v>
      </c>
      <c r="D558" t="s">
        <v>3101</v>
      </c>
      <c r="E558" t="s">
        <v>4101</v>
      </c>
      <c r="F558">
        <v>59</v>
      </c>
      <c r="G558" t="s">
        <v>5016</v>
      </c>
      <c r="H558" t="s">
        <v>5022</v>
      </c>
      <c r="I558" t="s">
        <v>5025</v>
      </c>
      <c r="J558">
        <v>94118</v>
      </c>
      <c r="K558">
        <v>99</v>
      </c>
      <c r="L558" s="7">
        <v>45178</v>
      </c>
      <c r="M558" t="s">
        <v>5028</v>
      </c>
      <c r="N558">
        <v>10</v>
      </c>
      <c r="O558">
        <v>9618</v>
      </c>
    </row>
    <row r="559" spans="1:15" x14ac:dyDescent="0.3">
      <c r="A559" t="s">
        <v>186</v>
      </c>
      <c r="B559" t="s">
        <v>1186</v>
      </c>
      <c r="C559" t="s">
        <v>2186</v>
      </c>
      <c r="D559" t="s">
        <v>3186</v>
      </c>
      <c r="E559" t="s">
        <v>4186</v>
      </c>
      <c r="F559">
        <v>58</v>
      </c>
      <c r="G559" t="s">
        <v>5015</v>
      </c>
      <c r="H559" t="s">
        <v>5021</v>
      </c>
      <c r="I559" t="s">
        <v>5023</v>
      </c>
      <c r="J559">
        <v>94363</v>
      </c>
      <c r="K559">
        <v>44</v>
      </c>
      <c r="L559" s="7">
        <v>45171</v>
      </c>
      <c r="M559" t="s">
        <v>5029</v>
      </c>
      <c r="N559">
        <v>10</v>
      </c>
      <c r="O559">
        <v>2991</v>
      </c>
    </row>
    <row r="560" spans="1:15" x14ac:dyDescent="0.3">
      <c r="A560" t="s">
        <v>283</v>
      </c>
      <c r="B560" t="s">
        <v>1283</v>
      </c>
      <c r="C560" t="s">
        <v>2283</v>
      </c>
      <c r="D560" t="s">
        <v>3283</v>
      </c>
      <c r="E560" t="s">
        <v>4283</v>
      </c>
      <c r="F560">
        <v>34</v>
      </c>
      <c r="G560" t="s">
        <v>5017</v>
      </c>
      <c r="H560" t="s">
        <v>5021</v>
      </c>
      <c r="I560" t="s">
        <v>5026</v>
      </c>
      <c r="J560">
        <v>94476</v>
      </c>
      <c r="K560">
        <v>23</v>
      </c>
      <c r="L560" s="7">
        <v>44994</v>
      </c>
      <c r="M560" t="s">
        <v>5030</v>
      </c>
      <c r="N560">
        <v>7</v>
      </c>
      <c r="O560">
        <v>2658</v>
      </c>
    </row>
    <row r="561" spans="1:15" x14ac:dyDescent="0.3">
      <c r="A561" t="s">
        <v>646</v>
      </c>
      <c r="B561" t="s">
        <v>1646</v>
      </c>
      <c r="C561" t="s">
        <v>2646</v>
      </c>
      <c r="D561" t="s">
        <v>3646</v>
      </c>
      <c r="E561" t="s">
        <v>4646</v>
      </c>
      <c r="F561">
        <v>57</v>
      </c>
      <c r="G561" t="s">
        <v>5017</v>
      </c>
      <c r="H561" t="s">
        <v>5019</v>
      </c>
      <c r="I561" t="s">
        <v>5025</v>
      </c>
      <c r="J561">
        <v>94596</v>
      </c>
      <c r="K561">
        <v>28</v>
      </c>
      <c r="L561" s="7">
        <v>45186</v>
      </c>
      <c r="M561" t="s">
        <v>5029</v>
      </c>
      <c r="N561">
        <v>10</v>
      </c>
      <c r="O561">
        <v>8351</v>
      </c>
    </row>
    <row r="562" spans="1:15" x14ac:dyDescent="0.3">
      <c r="A562" t="s">
        <v>997</v>
      </c>
      <c r="B562" t="s">
        <v>1997</v>
      </c>
      <c r="C562" t="s">
        <v>2997</v>
      </c>
      <c r="D562" t="s">
        <v>3997</v>
      </c>
      <c r="E562" t="s">
        <v>4997</v>
      </c>
      <c r="F562">
        <v>18</v>
      </c>
      <c r="G562" t="s">
        <v>5017</v>
      </c>
      <c r="H562" t="s">
        <v>5018</v>
      </c>
      <c r="I562" t="s">
        <v>5024</v>
      </c>
      <c r="J562">
        <v>94655</v>
      </c>
      <c r="K562">
        <v>29</v>
      </c>
      <c r="L562" s="7">
        <v>45252</v>
      </c>
      <c r="M562" t="s">
        <v>5030</v>
      </c>
      <c r="N562">
        <v>5</v>
      </c>
      <c r="O562">
        <v>7716</v>
      </c>
    </row>
    <row r="563" spans="1:15" x14ac:dyDescent="0.3">
      <c r="A563" t="s">
        <v>838</v>
      </c>
      <c r="B563" t="s">
        <v>1838</v>
      </c>
      <c r="C563" t="s">
        <v>2838</v>
      </c>
      <c r="D563" t="s">
        <v>3838</v>
      </c>
      <c r="E563" t="s">
        <v>4838</v>
      </c>
      <c r="F563">
        <v>41</v>
      </c>
      <c r="G563" t="s">
        <v>5016</v>
      </c>
      <c r="H563" t="s">
        <v>5018</v>
      </c>
      <c r="I563" t="s">
        <v>5024</v>
      </c>
      <c r="J563">
        <v>94703</v>
      </c>
      <c r="K563">
        <v>86</v>
      </c>
      <c r="L563" s="7">
        <v>44927</v>
      </c>
      <c r="M563" t="s">
        <v>5028</v>
      </c>
      <c r="N563">
        <v>10</v>
      </c>
      <c r="O563">
        <v>9739</v>
      </c>
    </row>
    <row r="564" spans="1:15" x14ac:dyDescent="0.3">
      <c r="A564" t="s">
        <v>319</v>
      </c>
      <c r="B564" t="s">
        <v>1319</v>
      </c>
      <c r="C564" t="s">
        <v>2319</v>
      </c>
      <c r="D564" t="s">
        <v>3319</v>
      </c>
      <c r="E564" t="s">
        <v>4319</v>
      </c>
      <c r="F564">
        <v>40</v>
      </c>
      <c r="G564" t="s">
        <v>5017</v>
      </c>
      <c r="H564" t="s">
        <v>5018</v>
      </c>
      <c r="I564" t="s">
        <v>5024</v>
      </c>
      <c r="J564">
        <v>94773</v>
      </c>
      <c r="K564">
        <v>17</v>
      </c>
      <c r="L564" s="7">
        <v>45007</v>
      </c>
      <c r="M564" t="s">
        <v>5028</v>
      </c>
      <c r="N564">
        <v>10</v>
      </c>
      <c r="O564">
        <v>6673</v>
      </c>
    </row>
    <row r="565" spans="1:15" x14ac:dyDescent="0.3">
      <c r="A565" t="s">
        <v>607</v>
      </c>
      <c r="B565" t="s">
        <v>1607</v>
      </c>
      <c r="C565" t="s">
        <v>2607</v>
      </c>
      <c r="D565" t="s">
        <v>3607</v>
      </c>
      <c r="E565" t="s">
        <v>4607</v>
      </c>
      <c r="F565">
        <v>47</v>
      </c>
      <c r="G565" t="s">
        <v>5017</v>
      </c>
      <c r="H565" t="s">
        <v>5019</v>
      </c>
      <c r="I565" t="s">
        <v>5025</v>
      </c>
      <c r="J565">
        <v>94863</v>
      </c>
      <c r="K565">
        <v>25</v>
      </c>
      <c r="L565" s="7">
        <v>45070</v>
      </c>
      <c r="M565" t="s">
        <v>5028</v>
      </c>
      <c r="N565">
        <v>5</v>
      </c>
      <c r="O565">
        <v>7950</v>
      </c>
    </row>
    <row r="566" spans="1:15" x14ac:dyDescent="0.3">
      <c r="A566" t="s">
        <v>973</v>
      </c>
      <c r="B566" t="s">
        <v>1973</v>
      </c>
      <c r="C566" t="s">
        <v>2973</v>
      </c>
      <c r="D566" t="s">
        <v>3973</v>
      </c>
      <c r="E566" t="s">
        <v>4973</v>
      </c>
      <c r="F566">
        <v>66</v>
      </c>
      <c r="G566" t="s">
        <v>5015</v>
      </c>
      <c r="H566" t="s">
        <v>5020</v>
      </c>
      <c r="I566" t="s">
        <v>5026</v>
      </c>
      <c r="J566">
        <v>94922</v>
      </c>
      <c r="K566">
        <v>13</v>
      </c>
      <c r="L566" s="7">
        <v>45109</v>
      </c>
      <c r="M566" t="s">
        <v>5028</v>
      </c>
      <c r="N566">
        <v>4</v>
      </c>
      <c r="O566">
        <v>8508</v>
      </c>
    </row>
    <row r="567" spans="1:15" x14ac:dyDescent="0.3">
      <c r="A567" t="s">
        <v>632</v>
      </c>
      <c r="B567" t="s">
        <v>1632</v>
      </c>
      <c r="C567" t="s">
        <v>2632</v>
      </c>
      <c r="D567" t="s">
        <v>3632</v>
      </c>
      <c r="E567" t="s">
        <v>4632</v>
      </c>
      <c r="F567">
        <v>42</v>
      </c>
      <c r="G567" t="s">
        <v>5017</v>
      </c>
      <c r="H567" t="s">
        <v>5022</v>
      </c>
      <c r="I567" t="s">
        <v>5023</v>
      </c>
      <c r="J567">
        <v>94942</v>
      </c>
      <c r="K567">
        <v>17</v>
      </c>
      <c r="L567" s="7">
        <v>45069</v>
      </c>
      <c r="M567" t="s">
        <v>5028</v>
      </c>
      <c r="N567">
        <v>1</v>
      </c>
      <c r="O567">
        <v>385</v>
      </c>
    </row>
    <row r="568" spans="1:15" x14ac:dyDescent="0.3">
      <c r="A568" t="s">
        <v>588</v>
      </c>
      <c r="B568" t="s">
        <v>1588</v>
      </c>
      <c r="C568" t="s">
        <v>2588</v>
      </c>
      <c r="D568" t="s">
        <v>3588</v>
      </c>
      <c r="E568" t="s">
        <v>4588</v>
      </c>
      <c r="F568">
        <v>23</v>
      </c>
      <c r="G568" t="s">
        <v>5017</v>
      </c>
      <c r="H568" t="s">
        <v>5018</v>
      </c>
      <c r="I568" t="s">
        <v>5025</v>
      </c>
      <c r="J568">
        <v>94993</v>
      </c>
      <c r="K568">
        <v>25</v>
      </c>
      <c r="L568" s="7">
        <v>45024</v>
      </c>
      <c r="M568" t="s">
        <v>5030</v>
      </c>
      <c r="N568">
        <v>3</v>
      </c>
      <c r="O568">
        <v>7900</v>
      </c>
    </row>
    <row r="569" spans="1:15" x14ac:dyDescent="0.3">
      <c r="A569" t="s">
        <v>490</v>
      </c>
      <c r="B569" t="s">
        <v>1490</v>
      </c>
      <c r="C569" t="s">
        <v>2490</v>
      </c>
      <c r="D569" t="s">
        <v>3490</v>
      </c>
      <c r="E569" t="s">
        <v>4490</v>
      </c>
      <c r="F569">
        <v>47</v>
      </c>
      <c r="G569" t="s">
        <v>5016</v>
      </c>
      <c r="H569" t="s">
        <v>5019</v>
      </c>
      <c r="I569" t="s">
        <v>5023</v>
      </c>
      <c r="J569">
        <v>95012</v>
      </c>
      <c r="K569">
        <v>53</v>
      </c>
      <c r="L569" s="7">
        <v>45080</v>
      </c>
      <c r="M569" t="s">
        <v>5029</v>
      </c>
      <c r="N569">
        <v>1</v>
      </c>
      <c r="O569">
        <v>1124</v>
      </c>
    </row>
    <row r="570" spans="1:15" x14ac:dyDescent="0.3">
      <c r="A570" t="s">
        <v>622</v>
      </c>
      <c r="B570" t="s">
        <v>1622</v>
      </c>
      <c r="C570" t="s">
        <v>2622</v>
      </c>
      <c r="D570" t="s">
        <v>3622</v>
      </c>
      <c r="E570" t="s">
        <v>4622</v>
      </c>
      <c r="F570">
        <v>59</v>
      </c>
      <c r="G570" t="s">
        <v>5015</v>
      </c>
      <c r="H570" t="s">
        <v>5019</v>
      </c>
      <c r="I570" t="s">
        <v>5025</v>
      </c>
      <c r="J570">
        <v>95131</v>
      </c>
      <c r="K570">
        <v>24</v>
      </c>
      <c r="L570" s="7">
        <v>45182</v>
      </c>
      <c r="M570" t="s">
        <v>5028</v>
      </c>
      <c r="N570">
        <v>7</v>
      </c>
      <c r="O570">
        <v>9103</v>
      </c>
    </row>
    <row r="571" spans="1:15" x14ac:dyDescent="0.3">
      <c r="A571" t="s">
        <v>50</v>
      </c>
      <c r="B571" t="s">
        <v>1050</v>
      </c>
      <c r="C571" t="s">
        <v>2050</v>
      </c>
      <c r="D571" t="s">
        <v>3050</v>
      </c>
      <c r="E571" t="s">
        <v>4050</v>
      </c>
      <c r="F571">
        <v>65</v>
      </c>
      <c r="G571" t="s">
        <v>5016</v>
      </c>
      <c r="H571" t="s">
        <v>5021</v>
      </c>
      <c r="I571" t="s">
        <v>5023</v>
      </c>
      <c r="J571">
        <v>95152</v>
      </c>
      <c r="K571">
        <v>37</v>
      </c>
      <c r="L571" s="7">
        <v>45195</v>
      </c>
      <c r="M571" t="s">
        <v>5029</v>
      </c>
      <c r="N571">
        <v>10</v>
      </c>
      <c r="O571">
        <v>5415</v>
      </c>
    </row>
    <row r="572" spans="1:15" x14ac:dyDescent="0.3">
      <c r="A572" t="s">
        <v>865</v>
      </c>
      <c r="B572" t="s">
        <v>1865</v>
      </c>
      <c r="C572" t="s">
        <v>2865</v>
      </c>
      <c r="D572" t="s">
        <v>3865</v>
      </c>
      <c r="E572" t="s">
        <v>4865</v>
      </c>
      <c r="F572">
        <v>31</v>
      </c>
      <c r="G572" t="s">
        <v>5017</v>
      </c>
      <c r="H572" t="s">
        <v>5019</v>
      </c>
      <c r="I572" t="s">
        <v>5027</v>
      </c>
      <c r="J572">
        <v>95226</v>
      </c>
      <c r="K572">
        <v>69</v>
      </c>
      <c r="L572" s="7">
        <v>45162</v>
      </c>
      <c r="M572" t="s">
        <v>5028</v>
      </c>
      <c r="N572">
        <v>9</v>
      </c>
      <c r="O572">
        <v>9212</v>
      </c>
    </row>
    <row r="573" spans="1:15" x14ac:dyDescent="0.3">
      <c r="A573" t="s">
        <v>206</v>
      </c>
      <c r="B573" t="s">
        <v>1206</v>
      </c>
      <c r="C573" t="s">
        <v>2206</v>
      </c>
      <c r="D573" t="s">
        <v>3206</v>
      </c>
      <c r="E573" t="s">
        <v>4206</v>
      </c>
      <c r="F573">
        <v>58</v>
      </c>
      <c r="G573" t="s">
        <v>5015</v>
      </c>
      <c r="H573" t="s">
        <v>5018</v>
      </c>
      <c r="I573" t="s">
        <v>5024</v>
      </c>
      <c r="J573">
        <v>95277</v>
      </c>
      <c r="K573">
        <v>34</v>
      </c>
      <c r="L573" s="7">
        <v>45201</v>
      </c>
      <c r="M573" t="s">
        <v>5028</v>
      </c>
      <c r="N573">
        <v>4</v>
      </c>
      <c r="O573">
        <v>6190</v>
      </c>
    </row>
    <row r="574" spans="1:15" x14ac:dyDescent="0.3">
      <c r="A574" t="s">
        <v>734</v>
      </c>
      <c r="B574" t="s">
        <v>1734</v>
      </c>
      <c r="C574" t="s">
        <v>2734</v>
      </c>
      <c r="D574" t="s">
        <v>3734</v>
      </c>
      <c r="E574" t="s">
        <v>4734</v>
      </c>
      <c r="F574">
        <v>29</v>
      </c>
      <c r="G574" t="s">
        <v>5016</v>
      </c>
      <c r="H574" t="s">
        <v>5020</v>
      </c>
      <c r="I574" t="s">
        <v>5026</v>
      </c>
      <c r="J574">
        <v>95328</v>
      </c>
      <c r="K574">
        <v>46</v>
      </c>
      <c r="L574" s="7">
        <v>44981</v>
      </c>
      <c r="M574" t="s">
        <v>5029</v>
      </c>
      <c r="N574">
        <v>3</v>
      </c>
      <c r="O574">
        <v>1540</v>
      </c>
    </row>
    <row r="575" spans="1:15" x14ac:dyDescent="0.3">
      <c r="A575" t="s">
        <v>72</v>
      </c>
      <c r="B575" t="s">
        <v>1072</v>
      </c>
      <c r="C575" t="s">
        <v>2072</v>
      </c>
      <c r="D575" t="s">
        <v>3072</v>
      </c>
      <c r="E575" t="s">
        <v>4072</v>
      </c>
      <c r="F575">
        <v>18</v>
      </c>
      <c r="G575" t="s">
        <v>5016</v>
      </c>
      <c r="H575" t="s">
        <v>5018</v>
      </c>
      <c r="I575" t="s">
        <v>5024</v>
      </c>
      <c r="J575">
        <v>95497</v>
      </c>
      <c r="K575">
        <v>30</v>
      </c>
      <c r="L575" s="7">
        <v>45035</v>
      </c>
      <c r="M575" t="s">
        <v>5029</v>
      </c>
      <c r="N575">
        <v>5</v>
      </c>
      <c r="O575">
        <v>9531</v>
      </c>
    </row>
    <row r="576" spans="1:15" x14ac:dyDescent="0.3">
      <c r="A576" t="s">
        <v>180</v>
      </c>
      <c r="B576" t="s">
        <v>1180</v>
      </c>
      <c r="C576" t="s">
        <v>2180</v>
      </c>
      <c r="D576" t="s">
        <v>3180</v>
      </c>
      <c r="E576" t="s">
        <v>4180</v>
      </c>
      <c r="F576">
        <v>57</v>
      </c>
      <c r="G576" t="s">
        <v>5016</v>
      </c>
      <c r="H576" t="s">
        <v>5020</v>
      </c>
      <c r="I576" t="s">
        <v>5023</v>
      </c>
      <c r="J576">
        <v>95742</v>
      </c>
      <c r="K576">
        <v>19</v>
      </c>
      <c r="L576" s="7">
        <v>44997</v>
      </c>
      <c r="M576" t="s">
        <v>5028</v>
      </c>
      <c r="N576">
        <v>7</v>
      </c>
      <c r="O576">
        <v>5496</v>
      </c>
    </row>
    <row r="577" spans="1:15" x14ac:dyDescent="0.3">
      <c r="A577" t="s">
        <v>138</v>
      </c>
      <c r="B577" t="s">
        <v>1138</v>
      </c>
      <c r="C577" t="s">
        <v>2138</v>
      </c>
      <c r="D577" t="s">
        <v>3138</v>
      </c>
      <c r="E577" t="s">
        <v>4138</v>
      </c>
      <c r="F577">
        <v>59</v>
      </c>
      <c r="G577" t="s">
        <v>5016</v>
      </c>
      <c r="H577" t="s">
        <v>5022</v>
      </c>
      <c r="I577" t="s">
        <v>5027</v>
      </c>
      <c r="J577">
        <v>95935</v>
      </c>
      <c r="K577">
        <v>18</v>
      </c>
      <c r="L577" s="7">
        <v>45148</v>
      </c>
      <c r="M577" t="s">
        <v>5028</v>
      </c>
      <c r="N577">
        <v>10</v>
      </c>
      <c r="O577">
        <v>7215</v>
      </c>
    </row>
    <row r="578" spans="1:15" x14ac:dyDescent="0.3">
      <c r="A578" t="s">
        <v>941</v>
      </c>
      <c r="B578" t="s">
        <v>1941</v>
      </c>
      <c r="C578" t="s">
        <v>2941</v>
      </c>
      <c r="D578" t="s">
        <v>3941</v>
      </c>
      <c r="E578" t="s">
        <v>4941</v>
      </c>
      <c r="F578">
        <v>41</v>
      </c>
      <c r="G578" t="s">
        <v>5017</v>
      </c>
      <c r="H578" t="s">
        <v>5021</v>
      </c>
      <c r="I578" t="s">
        <v>5023</v>
      </c>
      <c r="J578">
        <v>95937</v>
      </c>
      <c r="K578">
        <v>94</v>
      </c>
      <c r="L578" s="7">
        <v>45115</v>
      </c>
      <c r="M578" t="s">
        <v>5028</v>
      </c>
      <c r="N578">
        <v>2</v>
      </c>
      <c r="O578">
        <v>7929</v>
      </c>
    </row>
    <row r="579" spans="1:15" x14ac:dyDescent="0.3">
      <c r="A579" t="s">
        <v>958</v>
      </c>
      <c r="B579" t="s">
        <v>1958</v>
      </c>
      <c r="C579" t="s">
        <v>2958</v>
      </c>
      <c r="D579" t="s">
        <v>3958</v>
      </c>
      <c r="E579" t="s">
        <v>4958</v>
      </c>
      <c r="F579">
        <v>64</v>
      </c>
      <c r="G579" t="s">
        <v>5016</v>
      </c>
      <c r="H579" t="s">
        <v>5019</v>
      </c>
      <c r="I579" t="s">
        <v>5024</v>
      </c>
      <c r="J579">
        <v>96023</v>
      </c>
      <c r="K579">
        <v>9</v>
      </c>
      <c r="L579" s="7">
        <v>45043</v>
      </c>
      <c r="M579" t="s">
        <v>5028</v>
      </c>
      <c r="N579">
        <v>9</v>
      </c>
      <c r="O579">
        <v>1550</v>
      </c>
    </row>
    <row r="580" spans="1:15" x14ac:dyDescent="0.3">
      <c r="A580" t="s">
        <v>729</v>
      </c>
      <c r="B580" t="s">
        <v>1729</v>
      </c>
      <c r="C580" t="s">
        <v>2729</v>
      </c>
      <c r="D580" t="s">
        <v>3729</v>
      </c>
      <c r="E580" t="s">
        <v>4729</v>
      </c>
      <c r="F580">
        <v>69</v>
      </c>
      <c r="G580" t="s">
        <v>5015</v>
      </c>
      <c r="H580" t="s">
        <v>5018</v>
      </c>
      <c r="I580" t="s">
        <v>5026</v>
      </c>
      <c r="J580">
        <v>96132</v>
      </c>
      <c r="K580">
        <v>5</v>
      </c>
      <c r="L580" s="7">
        <v>45248</v>
      </c>
      <c r="M580" t="s">
        <v>5030</v>
      </c>
      <c r="N580">
        <v>7</v>
      </c>
      <c r="O580">
        <v>1085</v>
      </c>
    </row>
    <row r="581" spans="1:15" x14ac:dyDescent="0.3">
      <c r="A581" t="s">
        <v>977</v>
      </c>
      <c r="B581" t="s">
        <v>1977</v>
      </c>
      <c r="C581" t="s">
        <v>2977</v>
      </c>
      <c r="D581" t="s">
        <v>3977</v>
      </c>
      <c r="E581" t="s">
        <v>4977</v>
      </c>
      <c r="F581">
        <v>43</v>
      </c>
      <c r="G581" t="s">
        <v>5017</v>
      </c>
      <c r="H581" t="s">
        <v>5022</v>
      </c>
      <c r="I581" t="s">
        <v>5026</v>
      </c>
      <c r="J581">
        <v>96582</v>
      </c>
      <c r="K581">
        <v>83</v>
      </c>
      <c r="L581" s="7">
        <v>45215</v>
      </c>
      <c r="M581" t="s">
        <v>5029</v>
      </c>
      <c r="N581">
        <v>4</v>
      </c>
      <c r="O581">
        <v>6348</v>
      </c>
    </row>
    <row r="582" spans="1:15" x14ac:dyDescent="0.3">
      <c r="A582" t="s">
        <v>125</v>
      </c>
      <c r="B582" t="s">
        <v>1125</v>
      </c>
      <c r="C582" t="s">
        <v>2125</v>
      </c>
      <c r="D582" t="s">
        <v>3125</v>
      </c>
      <c r="E582" t="s">
        <v>4125</v>
      </c>
      <c r="F582">
        <v>37</v>
      </c>
      <c r="G582" t="s">
        <v>5016</v>
      </c>
      <c r="H582" t="s">
        <v>5018</v>
      </c>
      <c r="I582" t="s">
        <v>5024</v>
      </c>
      <c r="J582">
        <v>96732</v>
      </c>
      <c r="K582">
        <v>47</v>
      </c>
      <c r="L582" s="7">
        <v>45181</v>
      </c>
      <c r="M582" t="s">
        <v>5029</v>
      </c>
      <c r="N582">
        <v>8</v>
      </c>
      <c r="O582">
        <v>7202</v>
      </c>
    </row>
    <row r="583" spans="1:15" x14ac:dyDescent="0.3">
      <c r="A583" t="s">
        <v>852</v>
      </c>
      <c r="B583" t="s">
        <v>1852</v>
      </c>
      <c r="C583" t="s">
        <v>2852</v>
      </c>
      <c r="D583" t="s">
        <v>3852</v>
      </c>
      <c r="E583" t="s">
        <v>4852</v>
      </c>
      <c r="F583">
        <v>56</v>
      </c>
      <c r="G583" t="s">
        <v>5015</v>
      </c>
      <c r="H583" t="s">
        <v>5021</v>
      </c>
      <c r="I583" t="s">
        <v>5023</v>
      </c>
      <c r="J583">
        <v>96784</v>
      </c>
      <c r="K583">
        <v>55</v>
      </c>
      <c r="L583" s="7">
        <v>45215</v>
      </c>
      <c r="M583" t="s">
        <v>5028</v>
      </c>
      <c r="N583">
        <v>4</v>
      </c>
      <c r="O583">
        <v>8276</v>
      </c>
    </row>
    <row r="584" spans="1:15" x14ac:dyDescent="0.3">
      <c r="A584" t="s">
        <v>637</v>
      </c>
      <c r="B584" t="s">
        <v>1637</v>
      </c>
      <c r="C584" t="s">
        <v>2637</v>
      </c>
      <c r="D584" t="s">
        <v>3637</v>
      </c>
      <c r="E584" t="s">
        <v>4637</v>
      </c>
      <c r="F584">
        <v>64</v>
      </c>
      <c r="G584" t="s">
        <v>5015</v>
      </c>
      <c r="H584" t="s">
        <v>5020</v>
      </c>
      <c r="I584" t="s">
        <v>5027</v>
      </c>
      <c r="J584">
        <v>96791</v>
      </c>
      <c r="K584">
        <v>10</v>
      </c>
      <c r="L584" s="7">
        <v>45262</v>
      </c>
      <c r="M584" t="s">
        <v>5028</v>
      </c>
      <c r="N584">
        <v>5</v>
      </c>
      <c r="O584">
        <v>4408</v>
      </c>
    </row>
    <row r="585" spans="1:15" x14ac:dyDescent="0.3">
      <c r="A585" t="s">
        <v>293</v>
      </c>
      <c r="B585" t="s">
        <v>1293</v>
      </c>
      <c r="C585" t="s">
        <v>2293</v>
      </c>
      <c r="D585" t="s">
        <v>3293</v>
      </c>
      <c r="E585" t="s">
        <v>4293</v>
      </c>
      <c r="F585">
        <v>50</v>
      </c>
      <c r="G585" t="s">
        <v>5015</v>
      </c>
      <c r="H585" t="s">
        <v>5021</v>
      </c>
      <c r="I585" t="s">
        <v>5024</v>
      </c>
      <c r="J585">
        <v>96798</v>
      </c>
      <c r="K585">
        <v>34</v>
      </c>
      <c r="L585" s="7">
        <v>45046</v>
      </c>
      <c r="M585" t="s">
        <v>5029</v>
      </c>
      <c r="N585">
        <v>2</v>
      </c>
      <c r="O585">
        <v>6118</v>
      </c>
    </row>
    <row r="586" spans="1:15" x14ac:dyDescent="0.3">
      <c r="A586" t="s">
        <v>261</v>
      </c>
      <c r="B586" t="s">
        <v>1261</v>
      </c>
      <c r="C586" t="s">
        <v>2261</v>
      </c>
      <c r="D586" t="s">
        <v>3261</v>
      </c>
      <c r="E586" t="s">
        <v>4261</v>
      </c>
      <c r="F586">
        <v>51</v>
      </c>
      <c r="G586" t="s">
        <v>5016</v>
      </c>
      <c r="H586" t="s">
        <v>5019</v>
      </c>
      <c r="I586" t="s">
        <v>5024</v>
      </c>
      <c r="J586">
        <v>96935</v>
      </c>
      <c r="K586">
        <v>27</v>
      </c>
      <c r="L586" s="7">
        <v>45182</v>
      </c>
      <c r="M586" t="s">
        <v>5030</v>
      </c>
      <c r="N586">
        <v>1</v>
      </c>
      <c r="O586">
        <v>7554</v>
      </c>
    </row>
    <row r="587" spans="1:15" x14ac:dyDescent="0.3">
      <c r="A587" t="s">
        <v>951</v>
      </c>
      <c r="B587" t="s">
        <v>1951</v>
      </c>
      <c r="C587" t="s">
        <v>2951</v>
      </c>
      <c r="D587" t="s">
        <v>3951</v>
      </c>
      <c r="E587" t="s">
        <v>4951</v>
      </c>
      <c r="F587">
        <v>59</v>
      </c>
      <c r="G587" t="s">
        <v>5016</v>
      </c>
      <c r="H587" t="s">
        <v>5022</v>
      </c>
      <c r="I587" t="s">
        <v>5027</v>
      </c>
      <c r="J587">
        <v>97463</v>
      </c>
      <c r="K587">
        <v>77</v>
      </c>
      <c r="L587" s="7">
        <v>45041</v>
      </c>
      <c r="M587" t="s">
        <v>5028</v>
      </c>
      <c r="N587">
        <v>5</v>
      </c>
      <c r="O587">
        <v>9083</v>
      </c>
    </row>
    <row r="588" spans="1:15" x14ac:dyDescent="0.3">
      <c r="A588" t="s">
        <v>894</v>
      </c>
      <c r="B588" t="s">
        <v>1894</v>
      </c>
      <c r="C588" t="s">
        <v>2894</v>
      </c>
      <c r="D588" t="s">
        <v>3894</v>
      </c>
      <c r="E588" t="s">
        <v>4894</v>
      </c>
      <c r="F588">
        <v>64</v>
      </c>
      <c r="G588" t="s">
        <v>5017</v>
      </c>
      <c r="H588" t="s">
        <v>5021</v>
      </c>
      <c r="I588" t="s">
        <v>5025</v>
      </c>
      <c r="J588">
        <v>97505</v>
      </c>
      <c r="K588">
        <v>35</v>
      </c>
      <c r="L588" s="7">
        <v>45028</v>
      </c>
      <c r="M588" t="s">
        <v>5030</v>
      </c>
      <c r="N588">
        <v>6</v>
      </c>
      <c r="O588">
        <v>2886</v>
      </c>
    </row>
    <row r="589" spans="1:15" x14ac:dyDescent="0.3">
      <c r="A589" t="s">
        <v>754</v>
      </c>
      <c r="B589" t="s">
        <v>1754</v>
      </c>
      <c r="C589" t="s">
        <v>2754</v>
      </c>
      <c r="D589" t="s">
        <v>3754</v>
      </c>
      <c r="E589" t="s">
        <v>4754</v>
      </c>
      <c r="F589">
        <v>61</v>
      </c>
      <c r="G589" t="s">
        <v>5016</v>
      </c>
      <c r="H589" t="s">
        <v>5021</v>
      </c>
      <c r="I589" t="s">
        <v>5027</v>
      </c>
      <c r="J589">
        <v>97565</v>
      </c>
      <c r="K589">
        <v>14</v>
      </c>
      <c r="L589" s="7">
        <v>45011</v>
      </c>
      <c r="M589" t="s">
        <v>5029</v>
      </c>
      <c r="N589">
        <v>8</v>
      </c>
      <c r="O589">
        <v>9665</v>
      </c>
    </row>
    <row r="590" spans="1:15" x14ac:dyDescent="0.3">
      <c r="A590" t="s">
        <v>41</v>
      </c>
      <c r="B590" t="s">
        <v>1041</v>
      </c>
      <c r="C590" t="s">
        <v>2041</v>
      </c>
      <c r="D590" t="s">
        <v>3041</v>
      </c>
      <c r="E590" t="s">
        <v>4041</v>
      </c>
      <c r="F590">
        <v>21</v>
      </c>
      <c r="G590" t="s">
        <v>5015</v>
      </c>
      <c r="H590" t="s">
        <v>5019</v>
      </c>
      <c r="I590" t="s">
        <v>5025</v>
      </c>
      <c r="J590">
        <v>97579</v>
      </c>
      <c r="K590">
        <v>36</v>
      </c>
      <c r="L590" s="7">
        <v>45091</v>
      </c>
      <c r="M590" t="s">
        <v>5029</v>
      </c>
      <c r="N590">
        <v>7</v>
      </c>
      <c r="O590">
        <v>4528</v>
      </c>
    </row>
    <row r="591" spans="1:15" x14ac:dyDescent="0.3">
      <c r="A591" t="s">
        <v>724</v>
      </c>
      <c r="B591" t="s">
        <v>1724</v>
      </c>
      <c r="C591" t="s">
        <v>2724</v>
      </c>
      <c r="D591" t="s">
        <v>3724</v>
      </c>
      <c r="E591" t="s">
        <v>4724</v>
      </c>
      <c r="F591">
        <v>43</v>
      </c>
      <c r="G591" t="s">
        <v>5017</v>
      </c>
      <c r="H591" t="s">
        <v>5018</v>
      </c>
      <c r="I591" t="s">
        <v>5023</v>
      </c>
      <c r="J591">
        <v>97604</v>
      </c>
      <c r="K591">
        <v>91</v>
      </c>
      <c r="L591" s="7">
        <v>45180</v>
      </c>
      <c r="M591" t="s">
        <v>5030</v>
      </c>
      <c r="N591">
        <v>4</v>
      </c>
      <c r="O591">
        <v>5849</v>
      </c>
    </row>
    <row r="592" spans="1:15" x14ac:dyDescent="0.3">
      <c r="A592" t="s">
        <v>117</v>
      </c>
      <c r="B592" t="s">
        <v>1117</v>
      </c>
      <c r="C592" t="s">
        <v>2117</v>
      </c>
      <c r="D592" t="s">
        <v>3117</v>
      </c>
      <c r="E592" t="s">
        <v>4117</v>
      </c>
      <c r="F592">
        <v>45</v>
      </c>
      <c r="G592" t="s">
        <v>5016</v>
      </c>
      <c r="H592" t="s">
        <v>5021</v>
      </c>
      <c r="I592" t="s">
        <v>5026</v>
      </c>
      <c r="J592">
        <v>97615</v>
      </c>
      <c r="K592">
        <v>59</v>
      </c>
      <c r="L592" s="7">
        <v>45063</v>
      </c>
      <c r="M592" t="s">
        <v>5030</v>
      </c>
      <c r="N592">
        <v>7</v>
      </c>
      <c r="O592">
        <v>5575</v>
      </c>
    </row>
    <row r="593" spans="1:15" x14ac:dyDescent="0.3">
      <c r="A593" t="s">
        <v>474</v>
      </c>
      <c r="B593" t="s">
        <v>1474</v>
      </c>
      <c r="C593" t="s">
        <v>2474</v>
      </c>
      <c r="D593" t="s">
        <v>3474</v>
      </c>
      <c r="E593" t="s">
        <v>4474</v>
      </c>
      <c r="F593">
        <v>32</v>
      </c>
      <c r="G593" t="s">
        <v>5016</v>
      </c>
      <c r="H593" t="s">
        <v>5018</v>
      </c>
      <c r="I593" t="s">
        <v>5027</v>
      </c>
      <c r="J593">
        <v>97617</v>
      </c>
      <c r="K593">
        <v>10</v>
      </c>
      <c r="L593" s="7">
        <v>45207</v>
      </c>
      <c r="M593" t="s">
        <v>5030</v>
      </c>
      <c r="N593">
        <v>9</v>
      </c>
      <c r="O593">
        <v>3960</v>
      </c>
    </row>
    <row r="594" spans="1:15" x14ac:dyDescent="0.3">
      <c r="A594" t="s">
        <v>74</v>
      </c>
      <c r="B594" t="s">
        <v>1074</v>
      </c>
      <c r="C594" t="s">
        <v>2074</v>
      </c>
      <c r="D594" t="s">
        <v>3074</v>
      </c>
      <c r="E594" t="s">
        <v>4074</v>
      </c>
      <c r="F594">
        <v>66</v>
      </c>
      <c r="G594" t="s">
        <v>5017</v>
      </c>
      <c r="H594" t="s">
        <v>5019</v>
      </c>
      <c r="I594" t="s">
        <v>5025</v>
      </c>
      <c r="J594">
        <v>97891</v>
      </c>
      <c r="K594">
        <v>61</v>
      </c>
      <c r="L594" s="7">
        <v>45156</v>
      </c>
      <c r="M594" t="s">
        <v>5030</v>
      </c>
      <c r="N594">
        <v>5</v>
      </c>
      <c r="O594">
        <v>1950</v>
      </c>
    </row>
    <row r="595" spans="1:15" x14ac:dyDescent="0.3">
      <c r="A595" t="s">
        <v>71</v>
      </c>
      <c r="B595" t="s">
        <v>1071</v>
      </c>
      <c r="C595" t="s">
        <v>2071</v>
      </c>
      <c r="D595" t="s">
        <v>3071</v>
      </c>
      <c r="E595" t="s">
        <v>4071</v>
      </c>
      <c r="F595">
        <v>18</v>
      </c>
      <c r="G595" t="s">
        <v>5016</v>
      </c>
      <c r="H595" t="s">
        <v>5022</v>
      </c>
      <c r="I595" t="s">
        <v>5027</v>
      </c>
      <c r="J595">
        <v>97971</v>
      </c>
      <c r="K595">
        <v>49</v>
      </c>
      <c r="L595" s="7">
        <v>45206</v>
      </c>
      <c r="M595" t="s">
        <v>5029</v>
      </c>
      <c r="N595">
        <v>9</v>
      </c>
      <c r="O595">
        <v>7205</v>
      </c>
    </row>
    <row r="596" spans="1:15" x14ac:dyDescent="0.3">
      <c r="A596" t="s">
        <v>477</v>
      </c>
      <c r="B596" t="s">
        <v>1477</v>
      </c>
      <c r="C596" t="s">
        <v>2477</v>
      </c>
      <c r="D596" t="s">
        <v>3477</v>
      </c>
      <c r="E596" t="s">
        <v>4477</v>
      </c>
      <c r="F596">
        <v>70</v>
      </c>
      <c r="G596" t="s">
        <v>5015</v>
      </c>
      <c r="H596" t="s">
        <v>5022</v>
      </c>
      <c r="I596" t="s">
        <v>5023</v>
      </c>
      <c r="J596">
        <v>98178</v>
      </c>
      <c r="K596">
        <v>20</v>
      </c>
      <c r="L596" s="7">
        <v>45036</v>
      </c>
      <c r="M596" t="s">
        <v>5030</v>
      </c>
      <c r="N596">
        <v>1</v>
      </c>
      <c r="O596">
        <v>1187</v>
      </c>
    </row>
    <row r="597" spans="1:15" x14ac:dyDescent="0.3">
      <c r="A597" t="s">
        <v>919</v>
      </c>
      <c r="B597" t="s">
        <v>1919</v>
      </c>
      <c r="C597" t="s">
        <v>2919</v>
      </c>
      <c r="D597" t="s">
        <v>3919</v>
      </c>
      <c r="E597" t="s">
        <v>4919</v>
      </c>
      <c r="F597">
        <v>60</v>
      </c>
      <c r="G597" t="s">
        <v>5016</v>
      </c>
      <c r="H597" t="s">
        <v>5022</v>
      </c>
      <c r="I597" t="s">
        <v>5023</v>
      </c>
      <c r="J597">
        <v>98215</v>
      </c>
      <c r="K597">
        <v>53</v>
      </c>
      <c r="L597" s="7">
        <v>45222</v>
      </c>
      <c r="M597" t="s">
        <v>5029</v>
      </c>
      <c r="N597">
        <v>10</v>
      </c>
      <c r="O597">
        <v>4304</v>
      </c>
    </row>
    <row r="598" spans="1:15" x14ac:dyDescent="0.3">
      <c r="A598" t="s">
        <v>536</v>
      </c>
      <c r="B598" t="s">
        <v>1536</v>
      </c>
      <c r="C598" t="s">
        <v>2536</v>
      </c>
      <c r="D598" t="s">
        <v>3536</v>
      </c>
      <c r="E598" t="s">
        <v>4536</v>
      </c>
      <c r="F598">
        <v>70</v>
      </c>
      <c r="G598" t="s">
        <v>5015</v>
      </c>
      <c r="H598" t="s">
        <v>5019</v>
      </c>
      <c r="I598" t="s">
        <v>5023</v>
      </c>
      <c r="J598">
        <v>98254</v>
      </c>
      <c r="K598">
        <v>16</v>
      </c>
      <c r="L598" s="7">
        <v>45160</v>
      </c>
      <c r="M598" t="s">
        <v>5028</v>
      </c>
      <c r="N598">
        <v>9</v>
      </c>
      <c r="O598">
        <v>1458</v>
      </c>
    </row>
    <row r="599" spans="1:15" x14ac:dyDescent="0.3">
      <c r="A599" t="s">
        <v>388</v>
      </c>
      <c r="B599" t="s">
        <v>1388</v>
      </c>
      <c r="C599" t="s">
        <v>2388</v>
      </c>
      <c r="D599" t="s">
        <v>3388</v>
      </c>
      <c r="E599" t="s">
        <v>4388</v>
      </c>
      <c r="F599">
        <v>34</v>
      </c>
      <c r="G599" t="s">
        <v>5017</v>
      </c>
      <c r="H599" t="s">
        <v>5018</v>
      </c>
      <c r="I599" t="s">
        <v>5025</v>
      </c>
      <c r="J599">
        <v>98370</v>
      </c>
      <c r="K599">
        <v>57</v>
      </c>
      <c r="L599" s="7">
        <v>44931</v>
      </c>
      <c r="M599" t="s">
        <v>5030</v>
      </c>
      <c r="N599">
        <v>8</v>
      </c>
      <c r="O599">
        <v>2936</v>
      </c>
    </row>
    <row r="600" spans="1:15" x14ac:dyDescent="0.3">
      <c r="A600" t="s">
        <v>277</v>
      </c>
      <c r="B600" t="s">
        <v>1277</v>
      </c>
      <c r="C600" t="s">
        <v>2277</v>
      </c>
      <c r="D600" t="s">
        <v>3277</v>
      </c>
      <c r="E600" t="s">
        <v>4277</v>
      </c>
      <c r="F600">
        <v>63</v>
      </c>
      <c r="G600" t="s">
        <v>5017</v>
      </c>
      <c r="H600" t="s">
        <v>5021</v>
      </c>
      <c r="I600" t="s">
        <v>5027</v>
      </c>
      <c r="J600">
        <v>98478</v>
      </c>
      <c r="K600">
        <v>70</v>
      </c>
      <c r="L600" s="7">
        <v>45284</v>
      </c>
      <c r="M600" t="s">
        <v>5029</v>
      </c>
      <c r="N600">
        <v>7</v>
      </c>
      <c r="O600">
        <v>6775</v>
      </c>
    </row>
    <row r="601" spans="1:15" x14ac:dyDescent="0.3">
      <c r="A601" t="s">
        <v>240</v>
      </c>
      <c r="B601" t="s">
        <v>1240</v>
      </c>
      <c r="C601" t="s">
        <v>2240</v>
      </c>
      <c r="D601" t="s">
        <v>3240</v>
      </c>
      <c r="E601" t="s">
        <v>4240</v>
      </c>
      <c r="F601">
        <v>47</v>
      </c>
      <c r="G601" t="s">
        <v>5015</v>
      </c>
      <c r="H601" t="s">
        <v>5020</v>
      </c>
      <c r="I601" t="s">
        <v>5023</v>
      </c>
      <c r="J601">
        <v>98749</v>
      </c>
      <c r="K601">
        <v>100</v>
      </c>
      <c r="L601" s="7">
        <v>44936</v>
      </c>
      <c r="M601" t="s">
        <v>5029</v>
      </c>
      <c r="N601">
        <v>7</v>
      </c>
      <c r="O601">
        <v>2816</v>
      </c>
    </row>
    <row r="602" spans="1:15" x14ac:dyDescent="0.3">
      <c r="A602" t="s">
        <v>229</v>
      </c>
      <c r="B602" t="s">
        <v>1229</v>
      </c>
      <c r="C602" t="s">
        <v>2229</v>
      </c>
      <c r="D602" t="s">
        <v>3229</v>
      </c>
      <c r="E602" t="s">
        <v>4229</v>
      </c>
      <c r="F602">
        <v>58</v>
      </c>
      <c r="G602" t="s">
        <v>5016</v>
      </c>
      <c r="H602" t="s">
        <v>5022</v>
      </c>
      <c r="I602" t="s">
        <v>5026</v>
      </c>
      <c r="J602">
        <v>98900</v>
      </c>
      <c r="K602">
        <v>4</v>
      </c>
      <c r="L602" s="7">
        <v>45065</v>
      </c>
      <c r="M602" t="s">
        <v>5030</v>
      </c>
      <c r="N602">
        <v>6</v>
      </c>
      <c r="O602">
        <v>1549</v>
      </c>
    </row>
    <row r="603" spans="1:15" x14ac:dyDescent="0.3">
      <c r="A603" t="s">
        <v>595</v>
      </c>
      <c r="B603" t="s">
        <v>1595</v>
      </c>
      <c r="C603" t="s">
        <v>2595</v>
      </c>
      <c r="D603" t="s">
        <v>3595</v>
      </c>
      <c r="E603" t="s">
        <v>4595</v>
      </c>
      <c r="F603">
        <v>19</v>
      </c>
      <c r="G603" t="s">
        <v>5016</v>
      </c>
      <c r="H603" t="s">
        <v>5020</v>
      </c>
      <c r="I603" t="s">
        <v>5024</v>
      </c>
      <c r="J603">
        <v>99031</v>
      </c>
      <c r="K603">
        <v>60</v>
      </c>
      <c r="L603" s="7">
        <v>45058</v>
      </c>
      <c r="M603" t="s">
        <v>5028</v>
      </c>
      <c r="N603">
        <v>2</v>
      </c>
      <c r="O603">
        <v>6513</v>
      </c>
    </row>
    <row r="604" spans="1:15" x14ac:dyDescent="0.3">
      <c r="A604" t="s">
        <v>714</v>
      </c>
      <c r="B604" t="s">
        <v>1714</v>
      </c>
      <c r="C604" t="s">
        <v>2714</v>
      </c>
      <c r="D604" t="s">
        <v>3714</v>
      </c>
      <c r="E604" t="s">
        <v>4714</v>
      </c>
      <c r="F604">
        <v>36</v>
      </c>
      <c r="G604" t="s">
        <v>5015</v>
      </c>
      <c r="H604" t="s">
        <v>5018</v>
      </c>
      <c r="I604" t="s">
        <v>5027</v>
      </c>
      <c r="J604">
        <v>99079</v>
      </c>
      <c r="K604">
        <v>6</v>
      </c>
      <c r="L604" s="7">
        <v>45250</v>
      </c>
      <c r="M604" t="s">
        <v>5028</v>
      </c>
      <c r="N604">
        <v>4</v>
      </c>
      <c r="O604">
        <v>3341</v>
      </c>
    </row>
    <row r="605" spans="1:15" x14ac:dyDescent="0.3">
      <c r="A605" t="s">
        <v>352</v>
      </c>
      <c r="B605" t="s">
        <v>1352</v>
      </c>
      <c r="C605" t="s">
        <v>2352</v>
      </c>
      <c r="D605" t="s">
        <v>3352</v>
      </c>
      <c r="E605" t="s">
        <v>4352</v>
      </c>
      <c r="F605">
        <v>63</v>
      </c>
      <c r="G605" t="s">
        <v>5017</v>
      </c>
      <c r="H605" t="s">
        <v>5019</v>
      </c>
      <c r="I605" t="s">
        <v>5027</v>
      </c>
      <c r="J605">
        <v>99281</v>
      </c>
      <c r="K605">
        <v>11</v>
      </c>
      <c r="L605" s="7">
        <v>45262</v>
      </c>
      <c r="M605" t="s">
        <v>5029</v>
      </c>
      <c r="N605">
        <v>9</v>
      </c>
      <c r="O605">
        <v>2431</v>
      </c>
    </row>
    <row r="606" spans="1:15" x14ac:dyDescent="0.3">
      <c r="A606" t="s">
        <v>740</v>
      </c>
      <c r="B606" t="s">
        <v>1740</v>
      </c>
      <c r="C606" t="s">
        <v>2740</v>
      </c>
      <c r="D606" t="s">
        <v>3740</v>
      </c>
      <c r="E606" t="s">
        <v>4740</v>
      </c>
      <c r="F606">
        <v>49</v>
      </c>
      <c r="G606" t="s">
        <v>5015</v>
      </c>
      <c r="H606" t="s">
        <v>5021</v>
      </c>
      <c r="I606" t="s">
        <v>5023</v>
      </c>
      <c r="J606">
        <v>99346</v>
      </c>
      <c r="K606">
        <v>64</v>
      </c>
      <c r="L606" s="7">
        <v>44973</v>
      </c>
      <c r="M606" t="s">
        <v>5029</v>
      </c>
      <c r="N606">
        <v>1</v>
      </c>
      <c r="O606">
        <v>3517</v>
      </c>
    </row>
    <row r="607" spans="1:15" x14ac:dyDescent="0.3">
      <c r="A607" t="s">
        <v>839</v>
      </c>
      <c r="B607" t="s">
        <v>1839</v>
      </c>
      <c r="C607" t="s">
        <v>2839</v>
      </c>
      <c r="D607" t="s">
        <v>3839</v>
      </c>
      <c r="E607" t="s">
        <v>4839</v>
      </c>
      <c r="F607">
        <v>61</v>
      </c>
      <c r="G607" t="s">
        <v>5016</v>
      </c>
      <c r="H607" t="s">
        <v>5018</v>
      </c>
      <c r="I607" t="s">
        <v>5026</v>
      </c>
      <c r="J607">
        <v>99437</v>
      </c>
      <c r="K607">
        <v>85</v>
      </c>
      <c r="L607" s="7">
        <v>45103</v>
      </c>
      <c r="M607" t="s">
        <v>5028</v>
      </c>
      <c r="N607">
        <v>1</v>
      </c>
      <c r="O607">
        <v>6573</v>
      </c>
    </row>
    <row r="608" spans="1:15" x14ac:dyDescent="0.3">
      <c r="A608" t="s">
        <v>618</v>
      </c>
      <c r="B608" t="s">
        <v>1618</v>
      </c>
      <c r="C608" t="s">
        <v>2618</v>
      </c>
      <c r="D608" t="s">
        <v>3618</v>
      </c>
      <c r="E608" t="s">
        <v>4618</v>
      </c>
      <c r="F608">
        <v>53</v>
      </c>
      <c r="G608" t="s">
        <v>5015</v>
      </c>
      <c r="H608" t="s">
        <v>5022</v>
      </c>
      <c r="I608" t="s">
        <v>5024</v>
      </c>
      <c r="J608">
        <v>99438</v>
      </c>
      <c r="K608">
        <v>16</v>
      </c>
      <c r="L608" s="7">
        <v>45054</v>
      </c>
      <c r="M608" t="s">
        <v>5029</v>
      </c>
      <c r="N608">
        <v>10</v>
      </c>
      <c r="O608">
        <v>3481</v>
      </c>
    </row>
    <row r="609" spans="1:15" x14ac:dyDescent="0.3">
      <c r="A609" t="s">
        <v>160</v>
      </c>
      <c r="B609" t="s">
        <v>1160</v>
      </c>
      <c r="C609" t="s">
        <v>2160</v>
      </c>
      <c r="D609" t="s">
        <v>3160</v>
      </c>
      <c r="E609" t="s">
        <v>4160</v>
      </c>
      <c r="F609">
        <v>59</v>
      </c>
      <c r="G609" t="s">
        <v>5015</v>
      </c>
      <c r="H609" t="s">
        <v>5020</v>
      </c>
      <c r="I609" t="s">
        <v>5026</v>
      </c>
      <c r="J609">
        <v>99485</v>
      </c>
      <c r="K609">
        <v>17</v>
      </c>
      <c r="L609" s="7">
        <v>45101</v>
      </c>
      <c r="M609" t="s">
        <v>5030</v>
      </c>
      <c r="N609">
        <v>4</v>
      </c>
      <c r="O609">
        <v>9311</v>
      </c>
    </row>
    <row r="610" spans="1:15" x14ac:dyDescent="0.3">
      <c r="A610" t="s">
        <v>654</v>
      </c>
      <c r="B610" t="s">
        <v>1654</v>
      </c>
      <c r="C610" t="s">
        <v>2654</v>
      </c>
      <c r="D610" t="s">
        <v>3654</v>
      </c>
      <c r="E610" t="s">
        <v>4654</v>
      </c>
      <c r="F610">
        <v>63</v>
      </c>
      <c r="G610" t="s">
        <v>5015</v>
      </c>
      <c r="H610" t="s">
        <v>5020</v>
      </c>
      <c r="I610" t="s">
        <v>5027</v>
      </c>
      <c r="J610">
        <v>99669</v>
      </c>
      <c r="K610">
        <v>42</v>
      </c>
      <c r="L610" s="7">
        <v>44963</v>
      </c>
      <c r="M610" t="s">
        <v>5030</v>
      </c>
      <c r="N610">
        <v>3</v>
      </c>
      <c r="O610">
        <v>4761</v>
      </c>
    </row>
    <row r="611" spans="1:15" x14ac:dyDescent="0.3">
      <c r="A611" t="s">
        <v>479</v>
      </c>
      <c r="B611" t="s">
        <v>1479</v>
      </c>
      <c r="C611" t="s">
        <v>2479</v>
      </c>
      <c r="D611" t="s">
        <v>3479</v>
      </c>
      <c r="E611" t="s">
        <v>4479</v>
      </c>
      <c r="F611">
        <v>59</v>
      </c>
      <c r="G611" t="s">
        <v>5016</v>
      </c>
      <c r="H611" t="s">
        <v>5021</v>
      </c>
      <c r="I611" t="s">
        <v>5025</v>
      </c>
      <c r="J611">
        <v>99964</v>
      </c>
      <c r="K611">
        <v>85</v>
      </c>
      <c r="L611" s="7">
        <v>44956</v>
      </c>
      <c r="M611" t="s">
        <v>5028</v>
      </c>
      <c r="N611">
        <v>7</v>
      </c>
      <c r="O611">
        <v>3217</v>
      </c>
    </row>
    <row r="612" spans="1:15" x14ac:dyDescent="0.3">
      <c r="A612" t="s">
        <v>301</v>
      </c>
      <c r="B612" t="s">
        <v>1301</v>
      </c>
      <c r="C612" t="s">
        <v>2301</v>
      </c>
      <c r="D612" t="s">
        <v>3301</v>
      </c>
      <c r="E612" t="s">
        <v>4301</v>
      </c>
      <c r="F612">
        <v>39</v>
      </c>
      <c r="G612" t="s">
        <v>5017</v>
      </c>
      <c r="H612" t="s">
        <v>5022</v>
      </c>
      <c r="I612" t="s">
        <v>5027</v>
      </c>
      <c r="J612">
        <v>100350</v>
      </c>
      <c r="K612">
        <v>27</v>
      </c>
      <c r="L612" s="7">
        <v>45023</v>
      </c>
      <c r="M612" t="s">
        <v>5030</v>
      </c>
      <c r="N612">
        <v>4</v>
      </c>
      <c r="O612">
        <v>6287</v>
      </c>
    </row>
    <row r="613" spans="1:15" x14ac:dyDescent="0.3">
      <c r="A613" t="s">
        <v>17</v>
      </c>
      <c r="B613" t="s">
        <v>1017</v>
      </c>
      <c r="C613" t="s">
        <v>2017</v>
      </c>
      <c r="D613" t="s">
        <v>3017</v>
      </c>
      <c r="E613" t="s">
        <v>4017</v>
      </c>
      <c r="F613">
        <v>42</v>
      </c>
      <c r="G613" t="s">
        <v>5016</v>
      </c>
      <c r="H613" t="s">
        <v>5020</v>
      </c>
      <c r="I613" t="s">
        <v>5024</v>
      </c>
      <c r="J613">
        <v>100692</v>
      </c>
      <c r="K613">
        <v>64</v>
      </c>
      <c r="L613" s="7">
        <v>44950</v>
      </c>
      <c r="M613" t="s">
        <v>5029</v>
      </c>
      <c r="N613">
        <v>7</v>
      </c>
      <c r="O613">
        <v>2716</v>
      </c>
    </row>
    <row r="614" spans="1:15" x14ac:dyDescent="0.3">
      <c r="A614" t="s">
        <v>705</v>
      </c>
      <c r="B614" t="s">
        <v>1705</v>
      </c>
      <c r="C614" t="s">
        <v>2705</v>
      </c>
      <c r="D614" t="s">
        <v>3705</v>
      </c>
      <c r="E614" t="s">
        <v>4705</v>
      </c>
      <c r="F614">
        <v>39</v>
      </c>
      <c r="G614" t="s">
        <v>5017</v>
      </c>
      <c r="H614" t="s">
        <v>5021</v>
      </c>
      <c r="I614" t="s">
        <v>5027</v>
      </c>
      <c r="J614">
        <v>100946</v>
      </c>
      <c r="K614">
        <v>70</v>
      </c>
      <c r="L614" s="7">
        <v>45132</v>
      </c>
      <c r="M614" t="s">
        <v>5029</v>
      </c>
      <c r="N614">
        <v>10</v>
      </c>
      <c r="O614">
        <v>6878</v>
      </c>
    </row>
    <row r="615" spans="1:15" x14ac:dyDescent="0.3">
      <c r="A615" t="s">
        <v>404</v>
      </c>
      <c r="B615" t="s">
        <v>1404</v>
      </c>
      <c r="C615" t="s">
        <v>2404</v>
      </c>
      <c r="D615" t="s">
        <v>3404</v>
      </c>
      <c r="E615" t="s">
        <v>4404</v>
      </c>
      <c r="F615">
        <v>35</v>
      </c>
      <c r="G615" t="s">
        <v>5016</v>
      </c>
      <c r="H615" t="s">
        <v>5022</v>
      </c>
      <c r="I615" t="s">
        <v>5027</v>
      </c>
      <c r="J615">
        <v>101054</v>
      </c>
      <c r="K615">
        <v>40</v>
      </c>
      <c r="L615" s="7">
        <v>45097</v>
      </c>
      <c r="M615" t="s">
        <v>5030</v>
      </c>
      <c r="N615">
        <v>8</v>
      </c>
      <c r="O615">
        <v>8548</v>
      </c>
    </row>
    <row r="616" spans="1:15" x14ac:dyDescent="0.3">
      <c r="A616" t="s">
        <v>638</v>
      </c>
      <c r="B616" t="s">
        <v>1638</v>
      </c>
      <c r="C616" t="s">
        <v>2638</v>
      </c>
      <c r="D616" t="s">
        <v>3638</v>
      </c>
      <c r="E616" t="s">
        <v>4638</v>
      </c>
      <c r="F616">
        <v>70</v>
      </c>
      <c r="G616" t="s">
        <v>5017</v>
      </c>
      <c r="H616" t="s">
        <v>5022</v>
      </c>
      <c r="I616" t="s">
        <v>5024</v>
      </c>
      <c r="J616">
        <v>101133</v>
      </c>
      <c r="K616">
        <v>49</v>
      </c>
      <c r="L616" s="7">
        <v>45127</v>
      </c>
      <c r="M616" t="s">
        <v>5030</v>
      </c>
      <c r="N616">
        <v>2</v>
      </c>
      <c r="O616">
        <v>941</v>
      </c>
    </row>
    <row r="617" spans="1:15" x14ac:dyDescent="0.3">
      <c r="A617" t="s">
        <v>859</v>
      </c>
      <c r="B617" t="s">
        <v>1859</v>
      </c>
      <c r="C617" t="s">
        <v>2859</v>
      </c>
      <c r="D617" t="s">
        <v>3859</v>
      </c>
      <c r="E617" t="s">
        <v>4859</v>
      </c>
      <c r="F617">
        <v>34</v>
      </c>
      <c r="G617" t="s">
        <v>5016</v>
      </c>
      <c r="H617" t="s">
        <v>5022</v>
      </c>
      <c r="I617" t="s">
        <v>5024</v>
      </c>
      <c r="J617">
        <v>101460</v>
      </c>
      <c r="K617">
        <v>68</v>
      </c>
      <c r="L617" s="7">
        <v>45099</v>
      </c>
      <c r="M617" t="s">
        <v>5028</v>
      </c>
      <c r="N617">
        <v>2</v>
      </c>
      <c r="O617">
        <v>7259</v>
      </c>
    </row>
    <row r="618" spans="1:15" x14ac:dyDescent="0.3">
      <c r="A618" t="s">
        <v>174</v>
      </c>
      <c r="B618" t="s">
        <v>1174</v>
      </c>
      <c r="C618" t="s">
        <v>2174</v>
      </c>
      <c r="D618" t="s">
        <v>3174</v>
      </c>
      <c r="E618" t="s">
        <v>4174</v>
      </c>
      <c r="F618">
        <v>38</v>
      </c>
      <c r="G618" t="s">
        <v>5017</v>
      </c>
      <c r="H618" t="s">
        <v>5022</v>
      </c>
      <c r="I618" t="s">
        <v>5024</v>
      </c>
      <c r="J618">
        <v>101641</v>
      </c>
      <c r="K618">
        <v>16</v>
      </c>
      <c r="L618" s="7">
        <v>45252</v>
      </c>
      <c r="M618" t="s">
        <v>5030</v>
      </c>
      <c r="N618">
        <v>5</v>
      </c>
      <c r="O618">
        <v>8406</v>
      </c>
    </row>
    <row r="619" spans="1:15" x14ac:dyDescent="0.3">
      <c r="A619" t="s">
        <v>201</v>
      </c>
      <c r="B619" t="s">
        <v>1201</v>
      </c>
      <c r="C619" t="s">
        <v>2201</v>
      </c>
      <c r="D619" t="s">
        <v>3201</v>
      </c>
      <c r="E619" t="s">
        <v>4201</v>
      </c>
      <c r="F619">
        <v>27</v>
      </c>
      <c r="G619" t="s">
        <v>5015</v>
      </c>
      <c r="H619" t="s">
        <v>5019</v>
      </c>
      <c r="I619" t="s">
        <v>5027</v>
      </c>
      <c r="J619">
        <v>101684</v>
      </c>
      <c r="K619">
        <v>77</v>
      </c>
      <c r="L619" s="7">
        <v>45107</v>
      </c>
      <c r="M619" t="s">
        <v>5030</v>
      </c>
      <c r="N619">
        <v>6</v>
      </c>
      <c r="O619">
        <v>408</v>
      </c>
    </row>
    <row r="620" spans="1:15" x14ac:dyDescent="0.3">
      <c r="A620" t="s">
        <v>635</v>
      </c>
      <c r="B620" t="s">
        <v>1635</v>
      </c>
      <c r="C620" t="s">
        <v>2635</v>
      </c>
      <c r="D620" t="s">
        <v>3635</v>
      </c>
      <c r="E620" t="s">
        <v>4635</v>
      </c>
      <c r="F620">
        <v>64</v>
      </c>
      <c r="G620" t="s">
        <v>5017</v>
      </c>
      <c r="H620" t="s">
        <v>5018</v>
      </c>
      <c r="I620" t="s">
        <v>5024</v>
      </c>
      <c r="J620">
        <v>101727</v>
      </c>
      <c r="K620">
        <v>53</v>
      </c>
      <c r="L620" s="7">
        <v>45240</v>
      </c>
      <c r="M620" t="s">
        <v>5028</v>
      </c>
      <c r="N620">
        <v>3</v>
      </c>
      <c r="O620">
        <v>6455</v>
      </c>
    </row>
    <row r="621" spans="1:15" x14ac:dyDescent="0.3">
      <c r="A621" t="s">
        <v>400</v>
      </c>
      <c r="B621" t="s">
        <v>1400</v>
      </c>
      <c r="C621" t="s">
        <v>2400</v>
      </c>
      <c r="D621" t="s">
        <v>3400</v>
      </c>
      <c r="E621" t="s">
        <v>4400</v>
      </c>
      <c r="F621">
        <v>27</v>
      </c>
      <c r="G621" t="s">
        <v>5017</v>
      </c>
      <c r="H621" t="s">
        <v>5018</v>
      </c>
      <c r="I621" t="s">
        <v>5025</v>
      </c>
      <c r="J621">
        <v>101730</v>
      </c>
      <c r="K621">
        <v>15</v>
      </c>
      <c r="L621" s="7">
        <v>45082</v>
      </c>
      <c r="M621" t="s">
        <v>5028</v>
      </c>
      <c r="N621">
        <v>3</v>
      </c>
      <c r="O621">
        <v>8138</v>
      </c>
    </row>
    <row r="622" spans="1:15" x14ac:dyDescent="0.3">
      <c r="A622" t="s">
        <v>555</v>
      </c>
      <c r="B622" t="s">
        <v>1555</v>
      </c>
      <c r="C622" t="s">
        <v>2555</v>
      </c>
      <c r="D622" t="s">
        <v>3555</v>
      </c>
      <c r="E622" t="s">
        <v>4555</v>
      </c>
      <c r="F622">
        <v>31</v>
      </c>
      <c r="G622" t="s">
        <v>5017</v>
      </c>
      <c r="H622" t="s">
        <v>5018</v>
      </c>
      <c r="I622" t="s">
        <v>5027</v>
      </c>
      <c r="J622">
        <v>101822</v>
      </c>
      <c r="K622">
        <v>81</v>
      </c>
      <c r="L622" s="7">
        <v>45270</v>
      </c>
      <c r="M622" t="s">
        <v>5030</v>
      </c>
      <c r="N622">
        <v>10</v>
      </c>
      <c r="O622">
        <v>1797</v>
      </c>
    </row>
    <row r="623" spans="1:15" x14ac:dyDescent="0.3">
      <c r="A623" t="s">
        <v>274</v>
      </c>
      <c r="B623" t="s">
        <v>1274</v>
      </c>
      <c r="C623" t="s">
        <v>2274</v>
      </c>
      <c r="D623" t="s">
        <v>3274</v>
      </c>
      <c r="E623" t="s">
        <v>4274</v>
      </c>
      <c r="F623">
        <v>39</v>
      </c>
      <c r="G623" t="s">
        <v>5015</v>
      </c>
      <c r="H623" t="s">
        <v>5022</v>
      </c>
      <c r="I623" t="s">
        <v>5026</v>
      </c>
      <c r="J623">
        <v>101855</v>
      </c>
      <c r="K623">
        <v>82</v>
      </c>
      <c r="L623" s="7">
        <v>45064</v>
      </c>
      <c r="M623" t="s">
        <v>5028</v>
      </c>
      <c r="N623">
        <v>2</v>
      </c>
      <c r="O623">
        <v>4277</v>
      </c>
    </row>
    <row r="624" spans="1:15" x14ac:dyDescent="0.3">
      <c r="A624" t="s">
        <v>425</v>
      </c>
      <c r="B624" t="s">
        <v>1425</v>
      </c>
      <c r="C624" t="s">
        <v>2425</v>
      </c>
      <c r="D624" t="s">
        <v>3425</v>
      </c>
      <c r="E624" t="s">
        <v>4425</v>
      </c>
      <c r="F624">
        <v>48</v>
      </c>
      <c r="G624" t="s">
        <v>5016</v>
      </c>
      <c r="H624" t="s">
        <v>5020</v>
      </c>
      <c r="I624" t="s">
        <v>5026</v>
      </c>
      <c r="J624">
        <v>102403</v>
      </c>
      <c r="K624">
        <v>11</v>
      </c>
      <c r="L624" s="7">
        <v>44977</v>
      </c>
      <c r="M624" t="s">
        <v>5028</v>
      </c>
      <c r="N624">
        <v>4</v>
      </c>
      <c r="O624">
        <v>1215</v>
      </c>
    </row>
    <row r="625" spans="1:15" x14ac:dyDescent="0.3">
      <c r="A625" t="s">
        <v>775</v>
      </c>
      <c r="B625" t="s">
        <v>1775</v>
      </c>
      <c r="C625" t="s">
        <v>2775</v>
      </c>
      <c r="D625" t="s">
        <v>3775</v>
      </c>
      <c r="E625" t="s">
        <v>4775</v>
      </c>
      <c r="F625">
        <v>32</v>
      </c>
      <c r="G625" t="s">
        <v>5015</v>
      </c>
      <c r="H625" t="s">
        <v>5022</v>
      </c>
      <c r="I625" t="s">
        <v>5023</v>
      </c>
      <c r="J625">
        <v>102661</v>
      </c>
      <c r="K625">
        <v>42</v>
      </c>
      <c r="L625" s="7">
        <v>45147</v>
      </c>
      <c r="M625" t="s">
        <v>5028</v>
      </c>
      <c r="N625">
        <v>7</v>
      </c>
      <c r="O625">
        <v>7990</v>
      </c>
    </row>
    <row r="626" spans="1:15" x14ac:dyDescent="0.3">
      <c r="A626" t="s">
        <v>722</v>
      </c>
      <c r="B626" t="s">
        <v>1722</v>
      </c>
      <c r="C626" t="s">
        <v>2722</v>
      </c>
      <c r="D626" t="s">
        <v>3722</v>
      </c>
      <c r="E626" t="s">
        <v>4722</v>
      </c>
      <c r="F626">
        <v>40</v>
      </c>
      <c r="G626" t="s">
        <v>5017</v>
      </c>
      <c r="H626" t="s">
        <v>5021</v>
      </c>
      <c r="I626" t="s">
        <v>5026</v>
      </c>
      <c r="J626">
        <v>102675</v>
      </c>
      <c r="K626">
        <v>79</v>
      </c>
      <c r="L626" s="7">
        <v>45025</v>
      </c>
      <c r="M626" t="s">
        <v>5029</v>
      </c>
      <c r="N626">
        <v>5</v>
      </c>
      <c r="O626">
        <v>7177</v>
      </c>
    </row>
    <row r="627" spans="1:15" x14ac:dyDescent="0.3">
      <c r="A627" t="s">
        <v>945</v>
      </c>
      <c r="B627" t="s">
        <v>1945</v>
      </c>
      <c r="C627" t="s">
        <v>2945</v>
      </c>
      <c r="D627" t="s">
        <v>3945</v>
      </c>
      <c r="E627" t="s">
        <v>4945</v>
      </c>
      <c r="F627">
        <v>49</v>
      </c>
      <c r="G627" t="s">
        <v>5015</v>
      </c>
      <c r="H627" t="s">
        <v>5021</v>
      </c>
      <c r="I627" t="s">
        <v>5025</v>
      </c>
      <c r="J627">
        <v>102688</v>
      </c>
      <c r="K627">
        <v>20</v>
      </c>
      <c r="L627" s="7">
        <v>45043</v>
      </c>
      <c r="M627" t="s">
        <v>5029</v>
      </c>
      <c r="N627">
        <v>6</v>
      </c>
      <c r="O627">
        <v>401</v>
      </c>
    </row>
    <row r="628" spans="1:15" x14ac:dyDescent="0.3">
      <c r="A628" t="s">
        <v>923</v>
      </c>
      <c r="B628" t="s">
        <v>1923</v>
      </c>
      <c r="C628" t="s">
        <v>2923</v>
      </c>
      <c r="D628" t="s">
        <v>3923</v>
      </c>
      <c r="E628" t="s">
        <v>4923</v>
      </c>
      <c r="F628">
        <v>67</v>
      </c>
      <c r="G628" t="s">
        <v>5016</v>
      </c>
      <c r="H628" t="s">
        <v>5020</v>
      </c>
      <c r="I628" t="s">
        <v>5025</v>
      </c>
      <c r="J628">
        <v>102843</v>
      </c>
      <c r="K628">
        <v>5</v>
      </c>
      <c r="L628" s="7">
        <v>45052</v>
      </c>
      <c r="M628" t="s">
        <v>5029</v>
      </c>
      <c r="N628">
        <v>1</v>
      </c>
      <c r="O628">
        <v>8379</v>
      </c>
    </row>
    <row r="629" spans="1:15" x14ac:dyDescent="0.3">
      <c r="A629" t="s">
        <v>485</v>
      </c>
      <c r="B629" t="s">
        <v>1485</v>
      </c>
      <c r="C629" t="s">
        <v>2485</v>
      </c>
      <c r="D629" t="s">
        <v>3485</v>
      </c>
      <c r="E629" t="s">
        <v>4485</v>
      </c>
      <c r="F629">
        <v>22</v>
      </c>
      <c r="G629" t="s">
        <v>5015</v>
      </c>
      <c r="H629" t="s">
        <v>5019</v>
      </c>
      <c r="I629" t="s">
        <v>5027</v>
      </c>
      <c r="J629">
        <v>102912</v>
      </c>
      <c r="K629">
        <v>70</v>
      </c>
      <c r="L629" s="7">
        <v>45124</v>
      </c>
      <c r="M629" t="s">
        <v>5030</v>
      </c>
      <c r="N629">
        <v>9</v>
      </c>
      <c r="O629">
        <v>1785</v>
      </c>
    </row>
    <row r="630" spans="1:15" x14ac:dyDescent="0.3">
      <c r="A630" t="s">
        <v>311</v>
      </c>
      <c r="B630" t="s">
        <v>1311</v>
      </c>
      <c r="C630" t="s">
        <v>2311</v>
      </c>
      <c r="D630" t="s">
        <v>3311</v>
      </c>
      <c r="E630" t="s">
        <v>4311</v>
      </c>
      <c r="F630">
        <v>18</v>
      </c>
      <c r="G630" t="s">
        <v>5015</v>
      </c>
      <c r="H630" t="s">
        <v>5020</v>
      </c>
      <c r="I630" t="s">
        <v>5024</v>
      </c>
      <c r="J630">
        <v>102925</v>
      </c>
      <c r="K630">
        <v>88</v>
      </c>
      <c r="L630" s="7">
        <v>45037</v>
      </c>
      <c r="M630" t="s">
        <v>5030</v>
      </c>
      <c r="N630">
        <v>3</v>
      </c>
      <c r="O630">
        <v>9827</v>
      </c>
    </row>
    <row r="631" spans="1:15" x14ac:dyDescent="0.3">
      <c r="A631" t="s">
        <v>147</v>
      </c>
      <c r="B631" t="s">
        <v>1147</v>
      </c>
      <c r="C631" t="s">
        <v>2147</v>
      </c>
      <c r="D631" t="s">
        <v>3147</v>
      </c>
      <c r="E631" t="s">
        <v>4147</v>
      </c>
      <c r="F631">
        <v>65</v>
      </c>
      <c r="G631" t="s">
        <v>5015</v>
      </c>
      <c r="H631" t="s">
        <v>5021</v>
      </c>
      <c r="I631" t="s">
        <v>5026</v>
      </c>
      <c r="J631">
        <v>103043</v>
      </c>
      <c r="K631">
        <v>84</v>
      </c>
      <c r="L631" s="7">
        <v>45221</v>
      </c>
      <c r="M631" t="s">
        <v>5029</v>
      </c>
      <c r="N631">
        <v>3</v>
      </c>
      <c r="O631">
        <v>1446</v>
      </c>
    </row>
    <row r="632" spans="1:15" x14ac:dyDescent="0.3">
      <c r="A632" t="s">
        <v>601</v>
      </c>
      <c r="B632" t="s">
        <v>1601</v>
      </c>
      <c r="C632" t="s">
        <v>2601</v>
      </c>
      <c r="D632" t="s">
        <v>3601</v>
      </c>
      <c r="E632" t="s">
        <v>4601</v>
      </c>
      <c r="F632">
        <v>19</v>
      </c>
      <c r="G632" t="s">
        <v>5016</v>
      </c>
      <c r="H632" t="s">
        <v>5021</v>
      </c>
      <c r="I632" t="s">
        <v>5023</v>
      </c>
      <c r="J632">
        <v>103294</v>
      </c>
      <c r="K632">
        <v>9</v>
      </c>
      <c r="L632" s="7">
        <v>45264</v>
      </c>
      <c r="M632" t="s">
        <v>5029</v>
      </c>
      <c r="N632">
        <v>9</v>
      </c>
      <c r="O632">
        <v>1385</v>
      </c>
    </row>
    <row r="633" spans="1:15" x14ac:dyDescent="0.3">
      <c r="A633" t="s">
        <v>56</v>
      </c>
      <c r="B633" t="s">
        <v>1056</v>
      </c>
      <c r="C633" t="s">
        <v>2056</v>
      </c>
      <c r="D633" t="s">
        <v>3056</v>
      </c>
      <c r="E633" t="s">
        <v>4056</v>
      </c>
      <c r="F633">
        <v>28</v>
      </c>
      <c r="G633" t="s">
        <v>5017</v>
      </c>
      <c r="H633" t="s">
        <v>5019</v>
      </c>
      <c r="I633" t="s">
        <v>5027</v>
      </c>
      <c r="J633">
        <v>103475</v>
      </c>
      <c r="K633">
        <v>38</v>
      </c>
      <c r="L633" s="7">
        <v>45125</v>
      </c>
      <c r="M633" t="s">
        <v>5030</v>
      </c>
      <c r="N633">
        <v>1</v>
      </c>
      <c r="O633">
        <v>5038</v>
      </c>
    </row>
    <row r="634" spans="1:15" x14ac:dyDescent="0.3">
      <c r="A634" t="s">
        <v>393</v>
      </c>
      <c r="B634" t="s">
        <v>1393</v>
      </c>
      <c r="C634" t="s">
        <v>2393</v>
      </c>
      <c r="D634" t="s">
        <v>3393</v>
      </c>
      <c r="E634" t="s">
        <v>4393</v>
      </c>
      <c r="F634">
        <v>45</v>
      </c>
      <c r="G634" t="s">
        <v>5016</v>
      </c>
      <c r="H634" t="s">
        <v>5021</v>
      </c>
      <c r="I634" t="s">
        <v>5024</v>
      </c>
      <c r="J634">
        <v>103617</v>
      </c>
      <c r="K634">
        <v>4</v>
      </c>
      <c r="L634" s="7">
        <v>45167</v>
      </c>
      <c r="M634" t="s">
        <v>5030</v>
      </c>
      <c r="N634">
        <v>3</v>
      </c>
      <c r="O634">
        <v>7572</v>
      </c>
    </row>
    <row r="635" spans="1:15" x14ac:dyDescent="0.3">
      <c r="A635" t="s">
        <v>497</v>
      </c>
      <c r="B635" t="s">
        <v>1497</v>
      </c>
      <c r="C635" t="s">
        <v>2497</v>
      </c>
      <c r="D635" t="s">
        <v>3497</v>
      </c>
      <c r="E635" t="s">
        <v>4497</v>
      </c>
      <c r="F635">
        <v>60</v>
      </c>
      <c r="G635" t="s">
        <v>5017</v>
      </c>
      <c r="H635" t="s">
        <v>5020</v>
      </c>
      <c r="I635" t="s">
        <v>5025</v>
      </c>
      <c r="J635">
        <v>103645</v>
      </c>
      <c r="K635">
        <v>42</v>
      </c>
      <c r="L635" s="7">
        <v>45099</v>
      </c>
      <c r="M635" t="s">
        <v>5030</v>
      </c>
      <c r="N635">
        <v>2</v>
      </c>
      <c r="O635">
        <v>9881</v>
      </c>
    </row>
    <row r="636" spans="1:15" x14ac:dyDescent="0.3">
      <c r="A636" t="s">
        <v>872</v>
      </c>
      <c r="B636" t="s">
        <v>1872</v>
      </c>
      <c r="C636" t="s">
        <v>2872</v>
      </c>
      <c r="D636" t="s">
        <v>3872</v>
      </c>
      <c r="E636" t="s">
        <v>4872</v>
      </c>
      <c r="F636">
        <v>39</v>
      </c>
      <c r="G636" t="s">
        <v>5016</v>
      </c>
      <c r="H636" t="s">
        <v>5022</v>
      </c>
      <c r="I636" t="s">
        <v>5023</v>
      </c>
      <c r="J636">
        <v>103712</v>
      </c>
      <c r="K636">
        <v>26</v>
      </c>
      <c r="L636" s="7">
        <v>45271</v>
      </c>
      <c r="M636" t="s">
        <v>5029</v>
      </c>
      <c r="N636">
        <v>5</v>
      </c>
      <c r="O636">
        <v>5335</v>
      </c>
    </row>
    <row r="637" spans="1:15" x14ac:dyDescent="0.3">
      <c r="A637" t="s">
        <v>339</v>
      </c>
      <c r="B637" t="s">
        <v>1339</v>
      </c>
      <c r="C637" t="s">
        <v>2339</v>
      </c>
      <c r="D637" t="s">
        <v>3339</v>
      </c>
      <c r="E637" t="s">
        <v>4339</v>
      </c>
      <c r="F637">
        <v>61</v>
      </c>
      <c r="G637" t="s">
        <v>5015</v>
      </c>
      <c r="H637" t="s">
        <v>5018</v>
      </c>
      <c r="I637" t="s">
        <v>5027</v>
      </c>
      <c r="J637">
        <v>103778</v>
      </c>
      <c r="K637">
        <v>57</v>
      </c>
      <c r="L637" s="7">
        <v>45292</v>
      </c>
      <c r="M637" t="s">
        <v>5028</v>
      </c>
      <c r="N637">
        <v>10</v>
      </c>
      <c r="O637">
        <v>8274</v>
      </c>
    </row>
    <row r="638" spans="1:15" x14ac:dyDescent="0.3">
      <c r="A638" t="s">
        <v>851</v>
      </c>
      <c r="B638" t="s">
        <v>1851</v>
      </c>
      <c r="C638" t="s">
        <v>2851</v>
      </c>
      <c r="D638" t="s">
        <v>3851</v>
      </c>
      <c r="E638" t="s">
        <v>4851</v>
      </c>
      <c r="F638">
        <v>57</v>
      </c>
      <c r="G638" t="s">
        <v>5016</v>
      </c>
      <c r="H638" t="s">
        <v>5021</v>
      </c>
      <c r="I638" t="s">
        <v>5023</v>
      </c>
      <c r="J638">
        <v>103799</v>
      </c>
      <c r="K638">
        <v>34</v>
      </c>
      <c r="L638" s="7">
        <v>45019</v>
      </c>
      <c r="M638" t="s">
        <v>5030</v>
      </c>
      <c r="N638">
        <v>4</v>
      </c>
      <c r="O638">
        <v>4756</v>
      </c>
    </row>
    <row r="639" spans="1:15" x14ac:dyDescent="0.3">
      <c r="A639" t="s">
        <v>459</v>
      </c>
      <c r="B639" t="s">
        <v>1459</v>
      </c>
      <c r="C639" t="s">
        <v>2459</v>
      </c>
      <c r="D639" t="s">
        <v>3459</v>
      </c>
      <c r="E639" t="s">
        <v>4459</v>
      </c>
      <c r="F639">
        <v>32</v>
      </c>
      <c r="G639" t="s">
        <v>5015</v>
      </c>
      <c r="H639" t="s">
        <v>5020</v>
      </c>
      <c r="I639" t="s">
        <v>5027</v>
      </c>
      <c r="J639">
        <v>103875</v>
      </c>
      <c r="K639">
        <v>69</v>
      </c>
      <c r="L639" s="7">
        <v>45022</v>
      </c>
      <c r="M639" t="s">
        <v>5030</v>
      </c>
      <c r="N639">
        <v>6</v>
      </c>
      <c r="O639">
        <v>4779</v>
      </c>
    </row>
    <row r="640" spans="1:15" x14ac:dyDescent="0.3">
      <c r="A640" t="s">
        <v>48</v>
      </c>
      <c r="B640" t="s">
        <v>1048</v>
      </c>
      <c r="C640" t="s">
        <v>2048</v>
      </c>
      <c r="D640" t="s">
        <v>3048</v>
      </c>
      <c r="E640" t="s">
        <v>4048</v>
      </c>
      <c r="F640">
        <v>22</v>
      </c>
      <c r="G640" t="s">
        <v>5015</v>
      </c>
      <c r="H640" t="s">
        <v>5022</v>
      </c>
      <c r="I640" t="s">
        <v>5024</v>
      </c>
      <c r="J640">
        <v>104175</v>
      </c>
      <c r="K640">
        <v>19</v>
      </c>
      <c r="L640" s="7">
        <v>45194</v>
      </c>
      <c r="M640" t="s">
        <v>5029</v>
      </c>
      <c r="N640">
        <v>1</v>
      </c>
      <c r="O640">
        <v>8423</v>
      </c>
    </row>
    <row r="641" spans="1:15" x14ac:dyDescent="0.3">
      <c r="A641" t="s">
        <v>298</v>
      </c>
      <c r="B641" t="s">
        <v>1298</v>
      </c>
      <c r="C641" t="s">
        <v>2298</v>
      </c>
      <c r="D641" t="s">
        <v>3298</v>
      </c>
      <c r="E641" t="s">
        <v>4298</v>
      </c>
      <c r="F641">
        <v>30</v>
      </c>
      <c r="G641" t="s">
        <v>5016</v>
      </c>
      <c r="H641" t="s">
        <v>5021</v>
      </c>
      <c r="I641" t="s">
        <v>5027</v>
      </c>
      <c r="J641">
        <v>104237</v>
      </c>
      <c r="K641">
        <v>94</v>
      </c>
      <c r="L641" s="7">
        <v>45253</v>
      </c>
      <c r="M641" t="s">
        <v>5028</v>
      </c>
      <c r="N641">
        <v>5</v>
      </c>
      <c r="O641">
        <v>3683</v>
      </c>
    </row>
    <row r="642" spans="1:15" x14ac:dyDescent="0.3">
      <c r="A642" t="s">
        <v>346</v>
      </c>
      <c r="B642" t="s">
        <v>1346</v>
      </c>
      <c r="C642" t="s">
        <v>2346</v>
      </c>
      <c r="D642" t="s">
        <v>3346</v>
      </c>
      <c r="E642" t="s">
        <v>4346</v>
      </c>
      <c r="F642">
        <v>63</v>
      </c>
      <c r="G642" t="s">
        <v>5017</v>
      </c>
      <c r="H642" t="s">
        <v>5022</v>
      </c>
      <c r="I642" t="s">
        <v>5024</v>
      </c>
      <c r="J642">
        <v>104727</v>
      </c>
      <c r="K642">
        <v>72</v>
      </c>
      <c r="L642" s="7">
        <v>45222</v>
      </c>
      <c r="M642" t="s">
        <v>5028</v>
      </c>
      <c r="N642">
        <v>3</v>
      </c>
      <c r="O642">
        <v>6714</v>
      </c>
    </row>
    <row r="643" spans="1:15" x14ac:dyDescent="0.3">
      <c r="A643" t="s">
        <v>640</v>
      </c>
      <c r="B643" t="s">
        <v>1640</v>
      </c>
      <c r="C643" t="s">
        <v>2640</v>
      </c>
      <c r="D643" t="s">
        <v>3640</v>
      </c>
      <c r="E643" t="s">
        <v>4640</v>
      </c>
      <c r="F643">
        <v>65</v>
      </c>
      <c r="G643" t="s">
        <v>5016</v>
      </c>
      <c r="H643" t="s">
        <v>5022</v>
      </c>
      <c r="I643" t="s">
        <v>5026</v>
      </c>
      <c r="J643">
        <v>104987</v>
      </c>
      <c r="K643">
        <v>80</v>
      </c>
      <c r="L643" s="7">
        <v>45014</v>
      </c>
      <c r="M643" t="s">
        <v>5028</v>
      </c>
      <c r="N643">
        <v>8</v>
      </c>
      <c r="O643">
        <v>7252</v>
      </c>
    </row>
    <row r="644" spans="1:15" x14ac:dyDescent="0.3">
      <c r="A644" t="s">
        <v>213</v>
      </c>
      <c r="B644" t="s">
        <v>1213</v>
      </c>
      <c r="C644" t="s">
        <v>2213</v>
      </c>
      <c r="D644" t="s">
        <v>3213</v>
      </c>
      <c r="E644" t="s">
        <v>4213</v>
      </c>
      <c r="F644">
        <v>47</v>
      </c>
      <c r="G644" t="s">
        <v>5015</v>
      </c>
      <c r="H644" t="s">
        <v>5021</v>
      </c>
      <c r="I644" t="s">
        <v>5024</v>
      </c>
      <c r="J644">
        <v>105069</v>
      </c>
      <c r="K644">
        <v>28</v>
      </c>
      <c r="L644" s="7">
        <v>45266</v>
      </c>
      <c r="M644" t="s">
        <v>5029</v>
      </c>
      <c r="N644">
        <v>5</v>
      </c>
      <c r="O644">
        <v>8349</v>
      </c>
    </row>
    <row r="645" spans="1:15" x14ac:dyDescent="0.3">
      <c r="A645" t="s">
        <v>342</v>
      </c>
      <c r="B645" t="s">
        <v>1342</v>
      </c>
      <c r="C645" t="s">
        <v>2342</v>
      </c>
      <c r="D645" t="s">
        <v>3342</v>
      </c>
      <c r="E645" t="s">
        <v>4342</v>
      </c>
      <c r="F645">
        <v>44</v>
      </c>
      <c r="G645" t="s">
        <v>5015</v>
      </c>
      <c r="H645" t="s">
        <v>5018</v>
      </c>
      <c r="I645" t="s">
        <v>5025</v>
      </c>
      <c r="J645">
        <v>105462</v>
      </c>
      <c r="K645">
        <v>13</v>
      </c>
      <c r="L645" s="7">
        <v>45286</v>
      </c>
      <c r="M645" t="s">
        <v>5028</v>
      </c>
      <c r="N645">
        <v>7</v>
      </c>
      <c r="O645">
        <v>7862</v>
      </c>
    </row>
    <row r="646" spans="1:15" x14ac:dyDescent="0.3">
      <c r="A646" t="s">
        <v>156</v>
      </c>
      <c r="B646" t="s">
        <v>1156</v>
      </c>
      <c r="C646" t="s">
        <v>2156</v>
      </c>
      <c r="D646" t="s">
        <v>3156</v>
      </c>
      <c r="E646" t="s">
        <v>4156</v>
      </c>
      <c r="F646">
        <v>42</v>
      </c>
      <c r="G646" t="s">
        <v>5017</v>
      </c>
      <c r="H646" t="s">
        <v>5018</v>
      </c>
      <c r="I646" t="s">
        <v>5026</v>
      </c>
      <c r="J646">
        <v>105536</v>
      </c>
      <c r="K646">
        <v>23</v>
      </c>
      <c r="L646" s="7">
        <v>45064</v>
      </c>
      <c r="M646" t="s">
        <v>5028</v>
      </c>
      <c r="N646">
        <v>4</v>
      </c>
      <c r="O646">
        <v>7571</v>
      </c>
    </row>
    <row r="647" spans="1:15" x14ac:dyDescent="0.3">
      <c r="A647" t="s">
        <v>572</v>
      </c>
      <c r="B647" t="s">
        <v>1572</v>
      </c>
      <c r="C647" t="s">
        <v>2572</v>
      </c>
      <c r="D647" t="s">
        <v>3572</v>
      </c>
      <c r="E647" t="s">
        <v>4572</v>
      </c>
      <c r="F647">
        <v>38</v>
      </c>
      <c r="G647" t="s">
        <v>5016</v>
      </c>
      <c r="H647" t="s">
        <v>5022</v>
      </c>
      <c r="I647" t="s">
        <v>5026</v>
      </c>
      <c r="J647">
        <v>105572</v>
      </c>
      <c r="K647">
        <v>76</v>
      </c>
      <c r="L647" s="7">
        <v>45251</v>
      </c>
      <c r="M647" t="s">
        <v>5028</v>
      </c>
      <c r="N647">
        <v>6</v>
      </c>
      <c r="O647">
        <v>2042</v>
      </c>
    </row>
    <row r="648" spans="1:15" x14ac:dyDescent="0.3">
      <c r="A648" t="s">
        <v>183</v>
      </c>
      <c r="B648" t="s">
        <v>1183</v>
      </c>
      <c r="C648" t="s">
        <v>2183</v>
      </c>
      <c r="D648" t="s">
        <v>3183</v>
      </c>
      <c r="E648" t="s">
        <v>4183</v>
      </c>
      <c r="F648">
        <v>46</v>
      </c>
      <c r="G648" t="s">
        <v>5017</v>
      </c>
      <c r="H648" t="s">
        <v>5018</v>
      </c>
      <c r="I648" t="s">
        <v>5023</v>
      </c>
      <c r="J648">
        <v>105777</v>
      </c>
      <c r="K648">
        <v>89</v>
      </c>
      <c r="L648" s="7">
        <v>44977</v>
      </c>
      <c r="M648" t="s">
        <v>5030</v>
      </c>
      <c r="N648">
        <v>5</v>
      </c>
      <c r="O648">
        <v>1506</v>
      </c>
    </row>
    <row r="649" spans="1:15" x14ac:dyDescent="0.3">
      <c r="A649" t="s">
        <v>767</v>
      </c>
      <c r="B649" t="s">
        <v>1767</v>
      </c>
      <c r="C649" t="s">
        <v>2767</v>
      </c>
      <c r="D649" t="s">
        <v>3767</v>
      </c>
      <c r="E649" t="s">
        <v>4767</v>
      </c>
      <c r="F649">
        <v>46</v>
      </c>
      <c r="G649" t="s">
        <v>5015</v>
      </c>
      <c r="H649" t="s">
        <v>5019</v>
      </c>
      <c r="I649" t="s">
        <v>5025</v>
      </c>
      <c r="J649">
        <v>105830</v>
      </c>
      <c r="K649">
        <v>40</v>
      </c>
      <c r="L649" s="7">
        <v>45182</v>
      </c>
      <c r="M649" t="s">
        <v>5028</v>
      </c>
      <c r="N649">
        <v>5</v>
      </c>
      <c r="O649">
        <v>1846</v>
      </c>
    </row>
    <row r="650" spans="1:15" x14ac:dyDescent="0.3">
      <c r="A650" t="s">
        <v>18</v>
      </c>
      <c r="B650" t="s">
        <v>1018</v>
      </c>
      <c r="C650" t="s">
        <v>2018</v>
      </c>
      <c r="D650" t="s">
        <v>3018</v>
      </c>
      <c r="E650" t="s">
        <v>4018</v>
      </c>
      <c r="F650">
        <v>22</v>
      </c>
      <c r="G650" t="s">
        <v>5015</v>
      </c>
      <c r="H650" t="s">
        <v>5021</v>
      </c>
      <c r="I650" t="s">
        <v>5023</v>
      </c>
      <c r="J650">
        <v>106010</v>
      </c>
      <c r="K650">
        <v>48</v>
      </c>
      <c r="L650" s="7">
        <v>45200</v>
      </c>
      <c r="M650" t="s">
        <v>5028</v>
      </c>
      <c r="N650">
        <v>3</v>
      </c>
      <c r="O650">
        <v>703</v>
      </c>
    </row>
    <row r="651" spans="1:15" x14ac:dyDescent="0.3">
      <c r="A651" t="s">
        <v>728</v>
      </c>
      <c r="B651" t="s">
        <v>1728</v>
      </c>
      <c r="C651" t="s">
        <v>2728</v>
      </c>
      <c r="D651" t="s">
        <v>3728</v>
      </c>
      <c r="E651" t="s">
        <v>4728</v>
      </c>
      <c r="F651">
        <v>55</v>
      </c>
      <c r="G651" t="s">
        <v>5017</v>
      </c>
      <c r="H651" t="s">
        <v>5022</v>
      </c>
      <c r="I651" t="s">
        <v>5023</v>
      </c>
      <c r="J651">
        <v>106378</v>
      </c>
      <c r="K651">
        <v>20</v>
      </c>
      <c r="L651" s="7">
        <v>45008</v>
      </c>
      <c r="M651" t="s">
        <v>5030</v>
      </c>
      <c r="N651">
        <v>4</v>
      </c>
      <c r="O651">
        <v>5346</v>
      </c>
    </row>
    <row r="652" spans="1:15" x14ac:dyDescent="0.3">
      <c r="A652" t="s">
        <v>493</v>
      </c>
      <c r="B652" t="s">
        <v>1493</v>
      </c>
      <c r="C652" t="s">
        <v>2493</v>
      </c>
      <c r="D652" t="s">
        <v>3493</v>
      </c>
      <c r="E652" t="s">
        <v>4493</v>
      </c>
      <c r="F652">
        <v>33</v>
      </c>
      <c r="G652" t="s">
        <v>5015</v>
      </c>
      <c r="H652" t="s">
        <v>5018</v>
      </c>
      <c r="I652" t="s">
        <v>5023</v>
      </c>
      <c r="J652">
        <v>106565</v>
      </c>
      <c r="K652">
        <v>55</v>
      </c>
      <c r="L652" s="7">
        <v>44997</v>
      </c>
      <c r="M652" t="s">
        <v>5028</v>
      </c>
      <c r="N652">
        <v>4</v>
      </c>
      <c r="O652">
        <v>4525</v>
      </c>
    </row>
    <row r="653" spans="1:15" x14ac:dyDescent="0.3">
      <c r="A653" t="s">
        <v>746</v>
      </c>
      <c r="B653" t="s">
        <v>1746</v>
      </c>
      <c r="C653" t="s">
        <v>2746</v>
      </c>
      <c r="D653" t="s">
        <v>3746</v>
      </c>
      <c r="E653" t="s">
        <v>4746</v>
      </c>
      <c r="F653">
        <v>56</v>
      </c>
      <c r="G653" t="s">
        <v>5015</v>
      </c>
      <c r="H653" t="s">
        <v>5021</v>
      </c>
      <c r="I653" t="s">
        <v>5025</v>
      </c>
      <c r="J653">
        <v>106626</v>
      </c>
      <c r="K653">
        <v>52</v>
      </c>
      <c r="L653" s="7">
        <v>44974</v>
      </c>
      <c r="M653" t="s">
        <v>5028</v>
      </c>
      <c r="N653">
        <v>9</v>
      </c>
      <c r="O653">
        <v>6741</v>
      </c>
    </row>
    <row r="654" spans="1:15" x14ac:dyDescent="0.3">
      <c r="A654" t="s">
        <v>1014</v>
      </c>
      <c r="B654" t="s">
        <v>2014</v>
      </c>
      <c r="C654" t="s">
        <v>3014</v>
      </c>
      <c r="D654" t="s">
        <v>4014</v>
      </c>
      <c r="E654" t="s">
        <v>5014</v>
      </c>
      <c r="F654">
        <v>35</v>
      </c>
      <c r="G654" t="s">
        <v>5017</v>
      </c>
      <c r="H654" t="s">
        <v>5022</v>
      </c>
      <c r="I654" t="s">
        <v>5025</v>
      </c>
      <c r="J654">
        <v>106703</v>
      </c>
      <c r="K654">
        <v>39</v>
      </c>
      <c r="L654" s="7">
        <v>44958</v>
      </c>
      <c r="M654" t="s">
        <v>5030</v>
      </c>
      <c r="N654">
        <v>7</v>
      </c>
      <c r="O654">
        <v>9885</v>
      </c>
    </row>
    <row r="655" spans="1:15" x14ac:dyDescent="0.3">
      <c r="A655" t="s">
        <v>15</v>
      </c>
      <c r="B655" t="s">
        <v>1015</v>
      </c>
      <c r="C655" t="s">
        <v>2015</v>
      </c>
      <c r="D655" t="s">
        <v>3015</v>
      </c>
      <c r="E655" t="s">
        <v>4015</v>
      </c>
      <c r="F655">
        <v>53</v>
      </c>
      <c r="G655" t="s">
        <v>5015</v>
      </c>
      <c r="H655" t="s">
        <v>5018</v>
      </c>
      <c r="I655" t="s">
        <v>5023</v>
      </c>
      <c r="J655">
        <v>106866</v>
      </c>
      <c r="K655">
        <v>13</v>
      </c>
      <c r="L655" s="7">
        <v>45031</v>
      </c>
      <c r="M655" t="s">
        <v>5028</v>
      </c>
      <c r="N655">
        <v>3</v>
      </c>
      <c r="O655">
        <v>3</v>
      </c>
    </row>
    <row r="656" spans="1:15" x14ac:dyDescent="0.3">
      <c r="A656" t="s">
        <v>902</v>
      </c>
      <c r="B656" t="s">
        <v>1902</v>
      </c>
      <c r="C656" t="s">
        <v>2902</v>
      </c>
      <c r="D656" t="s">
        <v>3902</v>
      </c>
      <c r="E656" t="s">
        <v>4902</v>
      </c>
      <c r="F656">
        <v>55</v>
      </c>
      <c r="G656" t="s">
        <v>5017</v>
      </c>
      <c r="H656" t="s">
        <v>5019</v>
      </c>
      <c r="I656" t="s">
        <v>5027</v>
      </c>
      <c r="J656">
        <v>106942</v>
      </c>
      <c r="K656">
        <v>78</v>
      </c>
      <c r="L656" s="7">
        <v>45046</v>
      </c>
      <c r="M656" t="s">
        <v>5028</v>
      </c>
      <c r="N656">
        <v>9</v>
      </c>
      <c r="O656">
        <v>2454</v>
      </c>
    </row>
    <row r="657" spans="1:15" x14ac:dyDescent="0.3">
      <c r="A657" t="s">
        <v>803</v>
      </c>
      <c r="B657" t="s">
        <v>1803</v>
      </c>
      <c r="C657" t="s">
        <v>2803</v>
      </c>
      <c r="D657" t="s">
        <v>3803</v>
      </c>
      <c r="E657" t="s">
        <v>4803</v>
      </c>
      <c r="F657">
        <v>52</v>
      </c>
      <c r="G657" t="s">
        <v>5016</v>
      </c>
      <c r="H657" t="s">
        <v>5018</v>
      </c>
      <c r="I657" t="s">
        <v>5025</v>
      </c>
      <c r="J657">
        <v>107044</v>
      </c>
      <c r="K657">
        <v>31</v>
      </c>
      <c r="L657" s="7">
        <v>45102</v>
      </c>
      <c r="M657" t="s">
        <v>5028</v>
      </c>
      <c r="N657">
        <v>4</v>
      </c>
      <c r="O657">
        <v>7691</v>
      </c>
    </row>
    <row r="658" spans="1:15" x14ac:dyDescent="0.3">
      <c r="A658" t="s">
        <v>745</v>
      </c>
      <c r="B658" t="s">
        <v>1745</v>
      </c>
      <c r="C658" t="s">
        <v>2745</v>
      </c>
      <c r="D658" t="s">
        <v>3745</v>
      </c>
      <c r="E658" t="s">
        <v>4745</v>
      </c>
      <c r="F658">
        <v>21</v>
      </c>
      <c r="G658" t="s">
        <v>5016</v>
      </c>
      <c r="H658" t="s">
        <v>5018</v>
      </c>
      <c r="I658" t="s">
        <v>5025</v>
      </c>
      <c r="J658">
        <v>107052</v>
      </c>
      <c r="K658">
        <v>86</v>
      </c>
      <c r="L658" s="7">
        <v>45070</v>
      </c>
      <c r="M658" t="s">
        <v>5029</v>
      </c>
      <c r="N658">
        <v>1</v>
      </c>
      <c r="O658">
        <v>125</v>
      </c>
    </row>
    <row r="659" spans="1:15" x14ac:dyDescent="0.3">
      <c r="A659" t="s">
        <v>181</v>
      </c>
      <c r="B659" t="s">
        <v>1181</v>
      </c>
      <c r="C659" t="s">
        <v>2181</v>
      </c>
      <c r="D659" t="s">
        <v>3181</v>
      </c>
      <c r="E659" t="s">
        <v>4181</v>
      </c>
      <c r="F659">
        <v>57</v>
      </c>
      <c r="G659" t="s">
        <v>5015</v>
      </c>
      <c r="H659" t="s">
        <v>5022</v>
      </c>
      <c r="I659" t="s">
        <v>5025</v>
      </c>
      <c r="J659">
        <v>107104</v>
      </c>
      <c r="K659">
        <v>1</v>
      </c>
      <c r="L659" s="7">
        <v>44966</v>
      </c>
      <c r="M659" t="s">
        <v>5028</v>
      </c>
      <c r="N659">
        <v>2</v>
      </c>
      <c r="O659">
        <v>8014</v>
      </c>
    </row>
    <row r="660" spans="1:15" x14ac:dyDescent="0.3">
      <c r="A660" t="s">
        <v>953</v>
      </c>
      <c r="B660" t="s">
        <v>1953</v>
      </c>
      <c r="C660" t="s">
        <v>2953</v>
      </c>
      <c r="D660" t="s">
        <v>3953</v>
      </c>
      <c r="E660" t="s">
        <v>4953</v>
      </c>
      <c r="F660">
        <v>68</v>
      </c>
      <c r="G660" t="s">
        <v>5015</v>
      </c>
      <c r="H660" t="s">
        <v>5022</v>
      </c>
      <c r="I660" t="s">
        <v>5027</v>
      </c>
      <c r="J660">
        <v>107116</v>
      </c>
      <c r="K660">
        <v>45</v>
      </c>
      <c r="L660" s="7">
        <v>45056</v>
      </c>
      <c r="M660" t="s">
        <v>5029</v>
      </c>
      <c r="N660">
        <v>4</v>
      </c>
      <c r="O660">
        <v>3124</v>
      </c>
    </row>
    <row r="661" spans="1:15" x14ac:dyDescent="0.3">
      <c r="A661" t="s">
        <v>800</v>
      </c>
      <c r="B661" t="s">
        <v>1800</v>
      </c>
      <c r="C661" t="s">
        <v>2800</v>
      </c>
      <c r="D661" t="s">
        <v>3800</v>
      </c>
      <c r="E661" t="s">
        <v>4800</v>
      </c>
      <c r="F661">
        <v>47</v>
      </c>
      <c r="G661" t="s">
        <v>5015</v>
      </c>
      <c r="H661" t="s">
        <v>5022</v>
      </c>
      <c r="I661" t="s">
        <v>5024</v>
      </c>
      <c r="J661">
        <v>107215</v>
      </c>
      <c r="K661">
        <v>20</v>
      </c>
      <c r="L661" s="7">
        <v>44951</v>
      </c>
      <c r="M661" t="s">
        <v>5029</v>
      </c>
      <c r="N661">
        <v>2</v>
      </c>
      <c r="O661">
        <v>7891</v>
      </c>
    </row>
    <row r="662" spans="1:15" x14ac:dyDescent="0.3">
      <c r="A662" t="s">
        <v>514</v>
      </c>
      <c r="B662" t="s">
        <v>1514</v>
      </c>
      <c r="C662" t="s">
        <v>2514</v>
      </c>
      <c r="D662" t="s">
        <v>3514</v>
      </c>
      <c r="E662" t="s">
        <v>4514</v>
      </c>
      <c r="F662">
        <v>58</v>
      </c>
      <c r="G662" t="s">
        <v>5015</v>
      </c>
      <c r="H662" t="s">
        <v>5019</v>
      </c>
      <c r="I662" t="s">
        <v>5024</v>
      </c>
      <c r="J662">
        <v>107432</v>
      </c>
      <c r="K662">
        <v>51</v>
      </c>
      <c r="L662" s="7">
        <v>45041</v>
      </c>
      <c r="M662" t="s">
        <v>5030</v>
      </c>
      <c r="N662">
        <v>4</v>
      </c>
      <c r="O662">
        <v>4099</v>
      </c>
    </row>
    <row r="663" spans="1:15" x14ac:dyDescent="0.3">
      <c r="A663" t="s">
        <v>447</v>
      </c>
      <c r="B663" t="s">
        <v>1447</v>
      </c>
      <c r="C663" t="s">
        <v>2447</v>
      </c>
      <c r="D663" t="s">
        <v>3447</v>
      </c>
      <c r="E663" t="s">
        <v>4447</v>
      </c>
      <c r="F663">
        <v>35</v>
      </c>
      <c r="G663" t="s">
        <v>5015</v>
      </c>
      <c r="H663" t="s">
        <v>5019</v>
      </c>
      <c r="I663" t="s">
        <v>5023</v>
      </c>
      <c r="J663">
        <v>107558</v>
      </c>
      <c r="K663">
        <v>45</v>
      </c>
      <c r="L663" s="7">
        <v>45035</v>
      </c>
      <c r="M663" t="s">
        <v>5030</v>
      </c>
      <c r="N663">
        <v>5</v>
      </c>
      <c r="O663">
        <v>7327</v>
      </c>
    </row>
    <row r="664" spans="1:15" x14ac:dyDescent="0.3">
      <c r="A664" t="s">
        <v>1010</v>
      </c>
      <c r="B664" t="s">
        <v>2010</v>
      </c>
      <c r="C664" t="s">
        <v>3010</v>
      </c>
      <c r="D664" t="s">
        <v>4010</v>
      </c>
      <c r="E664" t="s">
        <v>5010</v>
      </c>
      <c r="F664">
        <v>20</v>
      </c>
      <c r="G664" t="s">
        <v>5017</v>
      </c>
      <c r="H664" t="s">
        <v>5018</v>
      </c>
      <c r="I664" t="s">
        <v>5027</v>
      </c>
      <c r="J664">
        <v>107632</v>
      </c>
      <c r="K664">
        <v>17</v>
      </c>
      <c r="L664" s="7">
        <v>44994</v>
      </c>
      <c r="M664" t="s">
        <v>5030</v>
      </c>
      <c r="N664">
        <v>5</v>
      </c>
      <c r="O664">
        <v>4494</v>
      </c>
    </row>
    <row r="665" spans="1:15" x14ac:dyDescent="0.3">
      <c r="A665" t="s">
        <v>633</v>
      </c>
      <c r="B665" t="s">
        <v>1633</v>
      </c>
      <c r="C665" t="s">
        <v>2633</v>
      </c>
      <c r="D665" t="s">
        <v>3633</v>
      </c>
      <c r="E665" t="s">
        <v>4633</v>
      </c>
      <c r="F665">
        <v>26</v>
      </c>
      <c r="G665" t="s">
        <v>5015</v>
      </c>
      <c r="H665" t="s">
        <v>5019</v>
      </c>
      <c r="I665" t="s">
        <v>5026</v>
      </c>
      <c r="J665">
        <v>107711</v>
      </c>
      <c r="K665">
        <v>98</v>
      </c>
      <c r="L665" s="7">
        <v>44998</v>
      </c>
      <c r="M665" t="s">
        <v>5030</v>
      </c>
      <c r="N665">
        <v>5</v>
      </c>
      <c r="O665">
        <v>4144</v>
      </c>
    </row>
    <row r="666" spans="1:15" x14ac:dyDescent="0.3">
      <c r="A666" t="s">
        <v>921</v>
      </c>
      <c r="B666" t="s">
        <v>1921</v>
      </c>
      <c r="C666" t="s">
        <v>2921</v>
      </c>
      <c r="D666" t="s">
        <v>3921</v>
      </c>
      <c r="E666" t="s">
        <v>4921</v>
      </c>
      <c r="F666">
        <v>58</v>
      </c>
      <c r="G666" t="s">
        <v>5016</v>
      </c>
      <c r="H666" t="s">
        <v>5018</v>
      </c>
      <c r="I666" t="s">
        <v>5025</v>
      </c>
      <c r="J666">
        <v>108329</v>
      </c>
      <c r="K666">
        <v>12</v>
      </c>
      <c r="L666" s="7">
        <v>44951</v>
      </c>
      <c r="M666" t="s">
        <v>5029</v>
      </c>
      <c r="N666">
        <v>4</v>
      </c>
      <c r="O666">
        <v>5523</v>
      </c>
    </row>
    <row r="667" spans="1:15" x14ac:dyDescent="0.3">
      <c r="A667" t="s">
        <v>27</v>
      </c>
      <c r="B667" t="s">
        <v>1027</v>
      </c>
      <c r="C667" t="s">
        <v>2027</v>
      </c>
      <c r="D667" t="s">
        <v>3027</v>
      </c>
      <c r="E667" t="s">
        <v>4027</v>
      </c>
      <c r="F667">
        <v>50</v>
      </c>
      <c r="G667" t="s">
        <v>5017</v>
      </c>
      <c r="H667" t="s">
        <v>5018</v>
      </c>
      <c r="I667" t="s">
        <v>5026</v>
      </c>
      <c r="J667">
        <v>108449</v>
      </c>
      <c r="K667">
        <v>66</v>
      </c>
      <c r="L667" s="7">
        <v>45000</v>
      </c>
      <c r="M667" t="s">
        <v>5030</v>
      </c>
      <c r="N667">
        <v>10</v>
      </c>
      <c r="O667">
        <v>8155</v>
      </c>
    </row>
    <row r="668" spans="1:15" x14ac:dyDescent="0.3">
      <c r="A668" t="s">
        <v>225</v>
      </c>
      <c r="B668" t="s">
        <v>1225</v>
      </c>
      <c r="C668" t="s">
        <v>2225</v>
      </c>
      <c r="D668" t="s">
        <v>3225</v>
      </c>
      <c r="E668" t="s">
        <v>4225</v>
      </c>
      <c r="F668">
        <v>50</v>
      </c>
      <c r="G668" t="s">
        <v>5017</v>
      </c>
      <c r="H668" t="s">
        <v>5018</v>
      </c>
      <c r="I668" t="s">
        <v>5026</v>
      </c>
      <c r="J668">
        <v>108618</v>
      </c>
      <c r="K668">
        <v>45</v>
      </c>
      <c r="L668" s="7">
        <v>45284</v>
      </c>
      <c r="M668" t="s">
        <v>5028</v>
      </c>
      <c r="N668">
        <v>8</v>
      </c>
      <c r="O668">
        <v>6749</v>
      </c>
    </row>
    <row r="669" spans="1:15" x14ac:dyDescent="0.3">
      <c r="A669" t="s">
        <v>623</v>
      </c>
      <c r="B669" t="s">
        <v>1623</v>
      </c>
      <c r="C669" t="s">
        <v>2623</v>
      </c>
      <c r="D669" t="s">
        <v>3623</v>
      </c>
      <c r="E669" t="s">
        <v>4623</v>
      </c>
      <c r="F669">
        <v>53</v>
      </c>
      <c r="G669" t="s">
        <v>5015</v>
      </c>
      <c r="H669" t="s">
        <v>5020</v>
      </c>
      <c r="I669" t="s">
        <v>5026</v>
      </c>
      <c r="J669">
        <v>108808</v>
      </c>
      <c r="K669">
        <v>24</v>
      </c>
      <c r="L669" s="7">
        <v>45245</v>
      </c>
      <c r="M669" t="s">
        <v>5029</v>
      </c>
      <c r="N669">
        <v>9</v>
      </c>
      <c r="O669">
        <v>1146</v>
      </c>
    </row>
    <row r="670" spans="1:15" x14ac:dyDescent="0.3">
      <c r="A670" t="s">
        <v>526</v>
      </c>
      <c r="B670" t="s">
        <v>1526</v>
      </c>
      <c r="C670" t="s">
        <v>2526</v>
      </c>
      <c r="D670" t="s">
        <v>3526</v>
      </c>
      <c r="E670" t="s">
        <v>4526</v>
      </c>
      <c r="F670">
        <v>26</v>
      </c>
      <c r="G670" t="s">
        <v>5016</v>
      </c>
      <c r="H670" t="s">
        <v>5021</v>
      </c>
      <c r="I670" t="s">
        <v>5026</v>
      </c>
      <c r="J670">
        <v>108865</v>
      </c>
      <c r="K670">
        <v>18</v>
      </c>
      <c r="L670" s="7">
        <v>45040</v>
      </c>
      <c r="M670" t="s">
        <v>5030</v>
      </c>
      <c r="N670">
        <v>1</v>
      </c>
      <c r="O670">
        <v>971</v>
      </c>
    </row>
    <row r="671" spans="1:15" x14ac:dyDescent="0.3">
      <c r="A671" t="s">
        <v>840</v>
      </c>
      <c r="B671" t="s">
        <v>1840</v>
      </c>
      <c r="C671" t="s">
        <v>2840</v>
      </c>
      <c r="D671" t="s">
        <v>3840</v>
      </c>
      <c r="E671" t="s">
        <v>4840</v>
      </c>
      <c r="F671">
        <v>28</v>
      </c>
      <c r="G671" t="s">
        <v>5016</v>
      </c>
      <c r="H671" t="s">
        <v>5020</v>
      </c>
      <c r="I671" t="s">
        <v>5025</v>
      </c>
      <c r="J671">
        <v>108875</v>
      </c>
      <c r="K671">
        <v>94</v>
      </c>
      <c r="L671" s="7">
        <v>45218</v>
      </c>
      <c r="M671" t="s">
        <v>5030</v>
      </c>
      <c r="N671">
        <v>9</v>
      </c>
      <c r="O671">
        <v>6680</v>
      </c>
    </row>
    <row r="672" spans="1:15" x14ac:dyDescent="0.3">
      <c r="A672" t="s">
        <v>362</v>
      </c>
      <c r="B672" t="s">
        <v>1362</v>
      </c>
      <c r="C672" t="s">
        <v>2362</v>
      </c>
      <c r="D672" t="s">
        <v>3362</v>
      </c>
      <c r="E672" t="s">
        <v>4362</v>
      </c>
      <c r="F672">
        <v>55</v>
      </c>
      <c r="G672" t="s">
        <v>5017</v>
      </c>
      <c r="H672" t="s">
        <v>5022</v>
      </c>
      <c r="I672" t="s">
        <v>5026</v>
      </c>
      <c r="J672">
        <v>109167</v>
      </c>
      <c r="K672">
        <v>31</v>
      </c>
      <c r="L672" s="7">
        <v>45215</v>
      </c>
      <c r="M672" t="s">
        <v>5028</v>
      </c>
      <c r="N672">
        <v>7</v>
      </c>
      <c r="O672">
        <v>6522</v>
      </c>
    </row>
    <row r="673" spans="1:15" x14ac:dyDescent="0.3">
      <c r="A673" t="s">
        <v>483</v>
      </c>
      <c r="B673" t="s">
        <v>1483</v>
      </c>
      <c r="C673" t="s">
        <v>2483</v>
      </c>
      <c r="D673" t="s">
        <v>3483</v>
      </c>
      <c r="E673" t="s">
        <v>4483</v>
      </c>
      <c r="F673">
        <v>31</v>
      </c>
      <c r="G673" t="s">
        <v>5017</v>
      </c>
      <c r="H673" t="s">
        <v>5018</v>
      </c>
      <c r="I673" t="s">
        <v>5026</v>
      </c>
      <c r="J673">
        <v>109242</v>
      </c>
      <c r="K673">
        <v>8</v>
      </c>
      <c r="L673" s="7">
        <v>45123</v>
      </c>
      <c r="M673" t="s">
        <v>5029</v>
      </c>
      <c r="N673">
        <v>1</v>
      </c>
      <c r="O673">
        <v>3102</v>
      </c>
    </row>
    <row r="674" spans="1:15" x14ac:dyDescent="0.3">
      <c r="A674" t="s">
        <v>365</v>
      </c>
      <c r="B674" t="s">
        <v>1365</v>
      </c>
      <c r="C674" t="s">
        <v>2365</v>
      </c>
      <c r="D674" t="s">
        <v>3365</v>
      </c>
      <c r="E674" t="s">
        <v>4365</v>
      </c>
      <c r="F674">
        <v>34</v>
      </c>
      <c r="G674" t="s">
        <v>5016</v>
      </c>
      <c r="H674" t="s">
        <v>5019</v>
      </c>
      <c r="I674" t="s">
        <v>5027</v>
      </c>
      <c r="J674">
        <v>109419</v>
      </c>
      <c r="K674">
        <v>67</v>
      </c>
      <c r="L674" s="7">
        <v>44989</v>
      </c>
      <c r="M674" t="s">
        <v>5029</v>
      </c>
      <c r="N674">
        <v>4</v>
      </c>
      <c r="O674">
        <v>5601</v>
      </c>
    </row>
    <row r="675" spans="1:15" x14ac:dyDescent="0.3">
      <c r="A675" t="s">
        <v>670</v>
      </c>
      <c r="B675" t="s">
        <v>1670</v>
      </c>
      <c r="C675" t="s">
        <v>2670</v>
      </c>
      <c r="D675" t="s">
        <v>3670</v>
      </c>
      <c r="E675" t="s">
        <v>4670</v>
      </c>
      <c r="F675">
        <v>35</v>
      </c>
      <c r="G675" t="s">
        <v>5017</v>
      </c>
      <c r="H675" t="s">
        <v>5020</v>
      </c>
      <c r="I675" t="s">
        <v>5026</v>
      </c>
      <c r="J675">
        <v>109716</v>
      </c>
      <c r="K675">
        <v>100</v>
      </c>
      <c r="L675" s="7">
        <v>44978</v>
      </c>
      <c r="M675" t="s">
        <v>5028</v>
      </c>
      <c r="N675">
        <v>6</v>
      </c>
      <c r="O675">
        <v>8684</v>
      </c>
    </row>
    <row r="676" spans="1:15" x14ac:dyDescent="0.3">
      <c r="A676" t="s">
        <v>710</v>
      </c>
      <c r="B676" t="s">
        <v>1710</v>
      </c>
      <c r="C676" t="s">
        <v>2710</v>
      </c>
      <c r="D676" t="s">
        <v>3710</v>
      </c>
      <c r="E676" t="s">
        <v>4710</v>
      </c>
      <c r="F676">
        <v>66</v>
      </c>
      <c r="G676" t="s">
        <v>5017</v>
      </c>
      <c r="H676" t="s">
        <v>5022</v>
      </c>
      <c r="I676" t="s">
        <v>5026</v>
      </c>
      <c r="J676">
        <v>109794</v>
      </c>
      <c r="K676">
        <v>71</v>
      </c>
      <c r="L676" s="7">
        <v>45177</v>
      </c>
      <c r="M676" t="s">
        <v>5028</v>
      </c>
      <c r="N676">
        <v>7</v>
      </c>
      <c r="O676">
        <v>8332</v>
      </c>
    </row>
    <row r="677" spans="1:15" x14ac:dyDescent="0.3">
      <c r="A677" t="s">
        <v>565</v>
      </c>
      <c r="B677" t="s">
        <v>1565</v>
      </c>
      <c r="C677" t="s">
        <v>2565</v>
      </c>
      <c r="D677" t="s">
        <v>3565</v>
      </c>
      <c r="E677" t="s">
        <v>4565</v>
      </c>
      <c r="F677">
        <v>45</v>
      </c>
      <c r="G677" t="s">
        <v>5015</v>
      </c>
      <c r="H677" t="s">
        <v>5021</v>
      </c>
      <c r="I677" t="s">
        <v>5027</v>
      </c>
      <c r="J677">
        <v>110260</v>
      </c>
      <c r="K677">
        <v>60</v>
      </c>
      <c r="L677" s="7">
        <v>44951</v>
      </c>
      <c r="M677" t="s">
        <v>5029</v>
      </c>
      <c r="N677">
        <v>9</v>
      </c>
      <c r="O677">
        <v>1417</v>
      </c>
    </row>
    <row r="678" spans="1:15" x14ac:dyDescent="0.3">
      <c r="A678" t="s">
        <v>643</v>
      </c>
      <c r="B678" t="s">
        <v>1643</v>
      </c>
      <c r="C678" t="s">
        <v>2643</v>
      </c>
      <c r="D678" t="s">
        <v>3643</v>
      </c>
      <c r="E678" t="s">
        <v>4643</v>
      </c>
      <c r="F678">
        <v>37</v>
      </c>
      <c r="G678" t="s">
        <v>5015</v>
      </c>
      <c r="H678" t="s">
        <v>5019</v>
      </c>
      <c r="I678" t="s">
        <v>5026</v>
      </c>
      <c r="J678">
        <v>110385</v>
      </c>
      <c r="K678">
        <v>62</v>
      </c>
      <c r="L678" s="7">
        <v>45030</v>
      </c>
      <c r="M678" t="s">
        <v>5028</v>
      </c>
      <c r="N678">
        <v>3</v>
      </c>
      <c r="O678">
        <v>649</v>
      </c>
    </row>
    <row r="679" spans="1:15" x14ac:dyDescent="0.3">
      <c r="A679" t="s">
        <v>169</v>
      </c>
      <c r="B679" t="s">
        <v>1169</v>
      </c>
      <c r="C679" t="s">
        <v>2169</v>
      </c>
      <c r="D679" t="s">
        <v>3169</v>
      </c>
      <c r="E679" t="s">
        <v>4169</v>
      </c>
      <c r="F679">
        <v>29</v>
      </c>
      <c r="G679" t="s">
        <v>5015</v>
      </c>
      <c r="H679" t="s">
        <v>5022</v>
      </c>
      <c r="I679" t="s">
        <v>5027</v>
      </c>
      <c r="J679">
        <v>110568</v>
      </c>
      <c r="K679">
        <v>53</v>
      </c>
      <c r="L679" s="7">
        <v>44931</v>
      </c>
      <c r="M679" t="s">
        <v>5028</v>
      </c>
      <c r="N679">
        <v>6</v>
      </c>
      <c r="O679">
        <v>1063</v>
      </c>
    </row>
    <row r="680" spans="1:15" x14ac:dyDescent="0.3">
      <c r="A680" t="s">
        <v>884</v>
      </c>
      <c r="B680" t="s">
        <v>1884</v>
      </c>
      <c r="C680" t="s">
        <v>2884</v>
      </c>
      <c r="D680" t="s">
        <v>3884</v>
      </c>
      <c r="E680" t="s">
        <v>4884</v>
      </c>
      <c r="F680">
        <v>65</v>
      </c>
      <c r="G680" t="s">
        <v>5015</v>
      </c>
      <c r="H680" t="s">
        <v>5020</v>
      </c>
      <c r="I680" t="s">
        <v>5026</v>
      </c>
      <c r="J680">
        <v>110672</v>
      </c>
      <c r="K680">
        <v>63</v>
      </c>
      <c r="L680" s="7">
        <v>45210</v>
      </c>
      <c r="M680" t="s">
        <v>5028</v>
      </c>
      <c r="N680">
        <v>5</v>
      </c>
      <c r="O680">
        <v>4659</v>
      </c>
    </row>
    <row r="681" spans="1:15" x14ac:dyDescent="0.3">
      <c r="A681" t="s">
        <v>428</v>
      </c>
      <c r="B681" t="s">
        <v>1428</v>
      </c>
      <c r="C681" t="s">
        <v>2428</v>
      </c>
      <c r="D681" t="s">
        <v>3428</v>
      </c>
      <c r="E681" t="s">
        <v>4428</v>
      </c>
      <c r="F681">
        <v>31</v>
      </c>
      <c r="G681" t="s">
        <v>5015</v>
      </c>
      <c r="H681" t="s">
        <v>5018</v>
      </c>
      <c r="I681" t="s">
        <v>5026</v>
      </c>
      <c r="J681">
        <v>110787</v>
      </c>
      <c r="K681">
        <v>64</v>
      </c>
      <c r="L681" s="7">
        <v>44934</v>
      </c>
      <c r="M681" t="s">
        <v>5029</v>
      </c>
      <c r="N681">
        <v>8</v>
      </c>
      <c r="O681">
        <v>5230</v>
      </c>
    </row>
    <row r="682" spans="1:15" x14ac:dyDescent="0.3">
      <c r="A682" t="s">
        <v>190</v>
      </c>
      <c r="B682" t="s">
        <v>1190</v>
      </c>
      <c r="C682" t="s">
        <v>2190</v>
      </c>
      <c r="D682" t="s">
        <v>3190</v>
      </c>
      <c r="E682" t="s">
        <v>4190</v>
      </c>
      <c r="F682">
        <v>61</v>
      </c>
      <c r="G682" t="s">
        <v>5015</v>
      </c>
      <c r="H682" t="s">
        <v>5021</v>
      </c>
      <c r="I682" t="s">
        <v>5024</v>
      </c>
      <c r="J682">
        <v>110918</v>
      </c>
      <c r="K682">
        <v>14</v>
      </c>
      <c r="L682" s="7">
        <v>45275</v>
      </c>
      <c r="M682" t="s">
        <v>5030</v>
      </c>
      <c r="N682">
        <v>5</v>
      </c>
      <c r="O682">
        <v>907</v>
      </c>
    </row>
    <row r="683" spans="1:15" x14ac:dyDescent="0.3">
      <c r="A683" t="s">
        <v>581</v>
      </c>
      <c r="B683" t="s">
        <v>1581</v>
      </c>
      <c r="C683" t="s">
        <v>2581</v>
      </c>
      <c r="D683" t="s">
        <v>3581</v>
      </c>
      <c r="E683" t="s">
        <v>4581</v>
      </c>
      <c r="F683">
        <v>54</v>
      </c>
      <c r="G683" t="s">
        <v>5015</v>
      </c>
      <c r="H683" t="s">
        <v>5022</v>
      </c>
      <c r="I683" t="s">
        <v>5024</v>
      </c>
      <c r="J683">
        <v>110947</v>
      </c>
      <c r="K683">
        <v>45</v>
      </c>
      <c r="L683" s="7">
        <v>45043</v>
      </c>
      <c r="M683" t="s">
        <v>5028</v>
      </c>
      <c r="N683">
        <v>6</v>
      </c>
      <c r="O683">
        <v>2513</v>
      </c>
    </row>
    <row r="684" spans="1:15" x14ac:dyDescent="0.3">
      <c r="A684" t="s">
        <v>898</v>
      </c>
      <c r="B684" t="s">
        <v>1898</v>
      </c>
      <c r="C684" t="s">
        <v>2898</v>
      </c>
      <c r="D684" t="s">
        <v>3898</v>
      </c>
      <c r="E684" t="s">
        <v>4898</v>
      </c>
      <c r="F684">
        <v>37</v>
      </c>
      <c r="G684" t="s">
        <v>5017</v>
      </c>
      <c r="H684" t="s">
        <v>5022</v>
      </c>
      <c r="I684" t="s">
        <v>5027</v>
      </c>
      <c r="J684">
        <v>111078</v>
      </c>
      <c r="K684">
        <v>62</v>
      </c>
      <c r="L684" s="7">
        <v>45259</v>
      </c>
      <c r="M684" t="s">
        <v>5028</v>
      </c>
      <c r="N684">
        <v>9</v>
      </c>
      <c r="O684">
        <v>7609</v>
      </c>
    </row>
    <row r="685" spans="1:15" x14ac:dyDescent="0.3">
      <c r="A685" t="s">
        <v>738</v>
      </c>
      <c r="B685" t="s">
        <v>1738</v>
      </c>
      <c r="C685" t="s">
        <v>2738</v>
      </c>
      <c r="D685" t="s">
        <v>3738</v>
      </c>
      <c r="E685" t="s">
        <v>4738</v>
      </c>
      <c r="F685">
        <v>47</v>
      </c>
      <c r="G685" t="s">
        <v>5015</v>
      </c>
      <c r="H685" t="s">
        <v>5018</v>
      </c>
      <c r="I685" t="s">
        <v>5026</v>
      </c>
      <c r="J685">
        <v>111155</v>
      </c>
      <c r="K685">
        <v>69</v>
      </c>
      <c r="L685" s="7">
        <v>44937</v>
      </c>
      <c r="M685" t="s">
        <v>5028</v>
      </c>
      <c r="N685">
        <v>9</v>
      </c>
      <c r="O685">
        <v>7321</v>
      </c>
    </row>
    <row r="686" spans="1:15" x14ac:dyDescent="0.3">
      <c r="A686" t="s">
        <v>126</v>
      </c>
      <c r="B686" t="s">
        <v>1126</v>
      </c>
      <c r="C686" t="s">
        <v>2126</v>
      </c>
      <c r="D686" t="s">
        <v>3126</v>
      </c>
      <c r="E686" t="s">
        <v>4126</v>
      </c>
      <c r="F686">
        <v>45</v>
      </c>
      <c r="G686" t="s">
        <v>5015</v>
      </c>
      <c r="H686" t="s">
        <v>5018</v>
      </c>
      <c r="I686" t="s">
        <v>5027</v>
      </c>
      <c r="J686">
        <v>111175</v>
      </c>
      <c r="K686">
        <v>47</v>
      </c>
      <c r="L686" s="7">
        <v>45283</v>
      </c>
      <c r="M686" t="s">
        <v>5028</v>
      </c>
      <c r="N686">
        <v>1</v>
      </c>
      <c r="O686">
        <v>8321</v>
      </c>
    </row>
    <row r="687" spans="1:15" x14ac:dyDescent="0.3">
      <c r="A687" t="s">
        <v>415</v>
      </c>
      <c r="B687" t="s">
        <v>1415</v>
      </c>
      <c r="C687" t="s">
        <v>2415</v>
      </c>
      <c r="D687" t="s">
        <v>3415</v>
      </c>
      <c r="E687" t="s">
        <v>4415</v>
      </c>
      <c r="F687">
        <v>35</v>
      </c>
      <c r="G687" t="s">
        <v>5015</v>
      </c>
      <c r="H687" t="s">
        <v>5019</v>
      </c>
      <c r="I687" t="s">
        <v>5027</v>
      </c>
      <c r="J687">
        <v>111224</v>
      </c>
      <c r="K687">
        <v>34</v>
      </c>
      <c r="L687" s="7">
        <v>45180</v>
      </c>
      <c r="M687" t="s">
        <v>5029</v>
      </c>
      <c r="N687">
        <v>3</v>
      </c>
      <c r="O687">
        <v>3715</v>
      </c>
    </row>
    <row r="688" spans="1:15" x14ac:dyDescent="0.3">
      <c r="A688" t="s">
        <v>747</v>
      </c>
      <c r="B688" t="s">
        <v>1747</v>
      </c>
      <c r="C688" t="s">
        <v>2747</v>
      </c>
      <c r="D688" t="s">
        <v>3747</v>
      </c>
      <c r="E688" t="s">
        <v>4747</v>
      </c>
      <c r="F688">
        <v>63</v>
      </c>
      <c r="G688" t="s">
        <v>5015</v>
      </c>
      <c r="H688" t="s">
        <v>5019</v>
      </c>
      <c r="I688" t="s">
        <v>5025</v>
      </c>
      <c r="J688">
        <v>111321</v>
      </c>
      <c r="K688">
        <v>19</v>
      </c>
      <c r="L688" s="7">
        <v>45013</v>
      </c>
      <c r="M688" t="s">
        <v>5030</v>
      </c>
      <c r="N688">
        <v>2</v>
      </c>
      <c r="O688">
        <v>6448</v>
      </c>
    </row>
    <row r="689" spans="1:15" x14ac:dyDescent="0.3">
      <c r="A689" t="s">
        <v>556</v>
      </c>
      <c r="B689" t="s">
        <v>1556</v>
      </c>
      <c r="C689" t="s">
        <v>2556</v>
      </c>
      <c r="D689" t="s">
        <v>3556</v>
      </c>
      <c r="E689" t="s">
        <v>4556</v>
      </c>
      <c r="F689">
        <v>22</v>
      </c>
      <c r="G689" t="s">
        <v>5016</v>
      </c>
      <c r="H689" t="s">
        <v>5018</v>
      </c>
      <c r="I689" t="s">
        <v>5023</v>
      </c>
      <c r="J689">
        <v>111507</v>
      </c>
      <c r="K689">
        <v>88</v>
      </c>
      <c r="L689" s="7">
        <v>45015</v>
      </c>
      <c r="M689" t="s">
        <v>5029</v>
      </c>
      <c r="N689">
        <v>8</v>
      </c>
      <c r="O689">
        <v>9836</v>
      </c>
    </row>
    <row r="690" spans="1:15" x14ac:dyDescent="0.3">
      <c r="A690" t="s">
        <v>503</v>
      </c>
      <c r="B690" t="s">
        <v>1503</v>
      </c>
      <c r="C690" t="s">
        <v>2503</v>
      </c>
      <c r="D690" t="s">
        <v>3503</v>
      </c>
      <c r="E690" t="s">
        <v>4503</v>
      </c>
      <c r="F690">
        <v>24</v>
      </c>
      <c r="G690" t="s">
        <v>5016</v>
      </c>
      <c r="H690" t="s">
        <v>5020</v>
      </c>
      <c r="I690" t="s">
        <v>5024</v>
      </c>
      <c r="J690">
        <v>111537</v>
      </c>
      <c r="K690">
        <v>38</v>
      </c>
      <c r="L690" s="7">
        <v>45245</v>
      </c>
      <c r="M690" t="s">
        <v>5029</v>
      </c>
      <c r="N690">
        <v>7</v>
      </c>
      <c r="O690">
        <v>8776</v>
      </c>
    </row>
    <row r="691" spans="1:15" x14ac:dyDescent="0.3">
      <c r="A691" t="s">
        <v>827</v>
      </c>
      <c r="B691" t="s">
        <v>1827</v>
      </c>
      <c r="C691" t="s">
        <v>2827</v>
      </c>
      <c r="D691" t="s">
        <v>3827</v>
      </c>
      <c r="E691" t="s">
        <v>4827</v>
      </c>
      <c r="F691">
        <v>40</v>
      </c>
      <c r="G691" t="s">
        <v>5017</v>
      </c>
      <c r="H691" t="s">
        <v>5020</v>
      </c>
      <c r="I691" t="s">
        <v>5023</v>
      </c>
      <c r="J691">
        <v>111573</v>
      </c>
      <c r="K691">
        <v>46</v>
      </c>
      <c r="L691" s="7">
        <v>45072</v>
      </c>
      <c r="M691" t="s">
        <v>5028</v>
      </c>
      <c r="N691">
        <v>6</v>
      </c>
      <c r="O691">
        <v>8718</v>
      </c>
    </row>
    <row r="692" spans="1:15" x14ac:dyDescent="0.3">
      <c r="A692" t="s">
        <v>527</v>
      </c>
      <c r="B692" t="s">
        <v>1527</v>
      </c>
      <c r="C692" t="s">
        <v>2527</v>
      </c>
      <c r="D692" t="s">
        <v>3527</v>
      </c>
      <c r="E692" t="s">
        <v>4527</v>
      </c>
      <c r="F692">
        <v>39</v>
      </c>
      <c r="G692" t="s">
        <v>5016</v>
      </c>
      <c r="H692" t="s">
        <v>5018</v>
      </c>
      <c r="I692" t="s">
        <v>5026</v>
      </c>
      <c r="J692">
        <v>112011</v>
      </c>
      <c r="K692">
        <v>89</v>
      </c>
      <c r="L692" s="7">
        <v>45252</v>
      </c>
      <c r="M692" t="s">
        <v>5029</v>
      </c>
      <c r="N692">
        <v>2</v>
      </c>
      <c r="O692">
        <v>5489</v>
      </c>
    </row>
    <row r="693" spans="1:15" x14ac:dyDescent="0.3">
      <c r="A693" t="s">
        <v>521</v>
      </c>
      <c r="B693" t="s">
        <v>1521</v>
      </c>
      <c r="C693" t="s">
        <v>2521</v>
      </c>
      <c r="D693" t="s">
        <v>3521</v>
      </c>
      <c r="E693" t="s">
        <v>4521</v>
      </c>
      <c r="F693">
        <v>32</v>
      </c>
      <c r="G693" t="s">
        <v>5016</v>
      </c>
      <c r="H693" t="s">
        <v>5019</v>
      </c>
      <c r="I693" t="s">
        <v>5025</v>
      </c>
      <c r="J693">
        <v>112390</v>
      </c>
      <c r="K693">
        <v>31</v>
      </c>
      <c r="L693" s="7">
        <v>44969</v>
      </c>
      <c r="M693" t="s">
        <v>5029</v>
      </c>
      <c r="N693">
        <v>4</v>
      </c>
      <c r="O693">
        <v>6523</v>
      </c>
    </row>
    <row r="694" spans="1:15" x14ac:dyDescent="0.3">
      <c r="A694" t="s">
        <v>530</v>
      </c>
      <c r="B694" t="s">
        <v>1530</v>
      </c>
      <c r="C694" t="s">
        <v>2530</v>
      </c>
      <c r="D694" t="s">
        <v>3530</v>
      </c>
      <c r="E694" t="s">
        <v>4530</v>
      </c>
      <c r="F694">
        <v>26</v>
      </c>
      <c r="G694" t="s">
        <v>5017</v>
      </c>
      <c r="H694" t="s">
        <v>5021</v>
      </c>
      <c r="I694" t="s">
        <v>5024</v>
      </c>
      <c r="J694">
        <v>112463</v>
      </c>
      <c r="K694">
        <v>50</v>
      </c>
      <c r="L694" s="7">
        <v>45205</v>
      </c>
      <c r="M694" t="s">
        <v>5029</v>
      </c>
      <c r="N694">
        <v>3</v>
      </c>
      <c r="O694">
        <v>3813</v>
      </c>
    </row>
    <row r="695" spans="1:15" x14ac:dyDescent="0.3">
      <c r="A695" t="s">
        <v>981</v>
      </c>
      <c r="B695" t="s">
        <v>1981</v>
      </c>
      <c r="C695" t="s">
        <v>2981</v>
      </c>
      <c r="D695" t="s">
        <v>3981</v>
      </c>
      <c r="E695" t="s">
        <v>4981</v>
      </c>
      <c r="F695">
        <v>60</v>
      </c>
      <c r="G695" t="s">
        <v>5017</v>
      </c>
      <c r="H695" t="s">
        <v>5021</v>
      </c>
      <c r="I695" t="s">
        <v>5024</v>
      </c>
      <c r="J695">
        <v>112533</v>
      </c>
      <c r="K695">
        <v>50</v>
      </c>
      <c r="L695" s="7">
        <v>45027</v>
      </c>
      <c r="M695" t="s">
        <v>5028</v>
      </c>
      <c r="N695">
        <v>8</v>
      </c>
      <c r="O695">
        <v>6286</v>
      </c>
    </row>
    <row r="696" spans="1:15" x14ac:dyDescent="0.3">
      <c r="A696" t="s">
        <v>590</v>
      </c>
      <c r="B696" t="s">
        <v>1590</v>
      </c>
      <c r="C696" t="s">
        <v>2590</v>
      </c>
      <c r="D696" t="s">
        <v>3590</v>
      </c>
      <c r="E696" t="s">
        <v>4590</v>
      </c>
      <c r="F696">
        <v>58</v>
      </c>
      <c r="G696" t="s">
        <v>5017</v>
      </c>
      <c r="H696" t="s">
        <v>5019</v>
      </c>
      <c r="I696" t="s">
        <v>5023</v>
      </c>
      <c r="J696">
        <v>112650</v>
      </c>
      <c r="K696">
        <v>31</v>
      </c>
      <c r="L696" s="7">
        <v>44960</v>
      </c>
      <c r="M696" t="s">
        <v>5029</v>
      </c>
      <c r="N696">
        <v>1</v>
      </c>
      <c r="O696">
        <v>9215</v>
      </c>
    </row>
    <row r="697" spans="1:15" x14ac:dyDescent="0.3">
      <c r="A697" t="s">
        <v>844</v>
      </c>
      <c r="B697" t="s">
        <v>1844</v>
      </c>
      <c r="C697" t="s">
        <v>2844</v>
      </c>
      <c r="D697" t="s">
        <v>3844</v>
      </c>
      <c r="E697" t="s">
        <v>4844</v>
      </c>
      <c r="F697">
        <v>20</v>
      </c>
      <c r="G697" t="s">
        <v>5017</v>
      </c>
      <c r="H697" t="s">
        <v>5018</v>
      </c>
      <c r="I697" t="s">
        <v>5024</v>
      </c>
      <c r="J697">
        <v>112726</v>
      </c>
      <c r="K697">
        <v>46</v>
      </c>
      <c r="L697" s="7">
        <v>45022</v>
      </c>
      <c r="M697" t="s">
        <v>5030</v>
      </c>
      <c r="N697">
        <v>10</v>
      </c>
      <c r="O697">
        <v>2351</v>
      </c>
    </row>
    <row r="698" spans="1:15" x14ac:dyDescent="0.3">
      <c r="A698" t="s">
        <v>112</v>
      </c>
      <c r="B698" t="s">
        <v>1112</v>
      </c>
      <c r="C698" t="s">
        <v>2112</v>
      </c>
      <c r="D698" t="s">
        <v>3112</v>
      </c>
      <c r="E698" t="s">
        <v>4112</v>
      </c>
      <c r="F698">
        <v>59</v>
      </c>
      <c r="G698" t="s">
        <v>5017</v>
      </c>
      <c r="H698" t="s">
        <v>5018</v>
      </c>
      <c r="I698" t="s">
        <v>5026</v>
      </c>
      <c r="J698">
        <v>112729</v>
      </c>
      <c r="K698">
        <v>36</v>
      </c>
      <c r="L698" s="7">
        <v>45106</v>
      </c>
      <c r="M698" t="s">
        <v>5029</v>
      </c>
      <c r="N698">
        <v>9</v>
      </c>
      <c r="O698">
        <v>4515</v>
      </c>
    </row>
    <row r="699" spans="1:15" x14ac:dyDescent="0.3">
      <c r="A699" t="s">
        <v>825</v>
      </c>
      <c r="B699" t="s">
        <v>1825</v>
      </c>
      <c r="C699" t="s">
        <v>2825</v>
      </c>
      <c r="D699" t="s">
        <v>3825</v>
      </c>
      <c r="E699" t="s">
        <v>4825</v>
      </c>
      <c r="F699">
        <v>31</v>
      </c>
      <c r="G699" t="s">
        <v>5016</v>
      </c>
      <c r="H699" t="s">
        <v>5022</v>
      </c>
      <c r="I699" t="s">
        <v>5027</v>
      </c>
      <c r="J699">
        <v>113019</v>
      </c>
      <c r="K699">
        <v>76</v>
      </c>
      <c r="L699" s="7">
        <v>45231</v>
      </c>
      <c r="M699" t="s">
        <v>5028</v>
      </c>
      <c r="N699">
        <v>2</v>
      </c>
      <c r="O699">
        <v>5378</v>
      </c>
    </row>
    <row r="700" spans="1:15" x14ac:dyDescent="0.3">
      <c r="A700" t="s">
        <v>266</v>
      </c>
      <c r="B700" t="s">
        <v>1266</v>
      </c>
      <c r="C700" t="s">
        <v>2266</v>
      </c>
      <c r="D700" t="s">
        <v>3266</v>
      </c>
      <c r="E700" t="s">
        <v>4266</v>
      </c>
      <c r="F700">
        <v>34</v>
      </c>
      <c r="G700" t="s">
        <v>5016</v>
      </c>
      <c r="H700" t="s">
        <v>5021</v>
      </c>
      <c r="I700" t="s">
        <v>5024</v>
      </c>
      <c r="J700">
        <v>113080</v>
      </c>
      <c r="K700">
        <v>85</v>
      </c>
      <c r="L700" s="7">
        <v>45077</v>
      </c>
      <c r="M700" t="s">
        <v>5028</v>
      </c>
      <c r="N700">
        <v>9</v>
      </c>
      <c r="O700">
        <v>8514</v>
      </c>
    </row>
    <row r="701" spans="1:15" x14ac:dyDescent="0.3">
      <c r="A701" t="s">
        <v>532</v>
      </c>
      <c r="B701" t="s">
        <v>1532</v>
      </c>
      <c r="C701" t="s">
        <v>2532</v>
      </c>
      <c r="D701" t="s">
        <v>3532</v>
      </c>
      <c r="E701" t="s">
        <v>4532</v>
      </c>
      <c r="F701">
        <v>43</v>
      </c>
      <c r="G701" t="s">
        <v>5015</v>
      </c>
      <c r="H701" t="s">
        <v>5020</v>
      </c>
      <c r="I701" t="s">
        <v>5025</v>
      </c>
      <c r="J701">
        <v>113087</v>
      </c>
      <c r="K701">
        <v>96</v>
      </c>
      <c r="L701" s="7">
        <v>44948</v>
      </c>
      <c r="M701" t="s">
        <v>5028</v>
      </c>
      <c r="N701">
        <v>8</v>
      </c>
      <c r="O701">
        <v>1189</v>
      </c>
    </row>
    <row r="702" spans="1:15" x14ac:dyDescent="0.3">
      <c r="A702" t="s">
        <v>223</v>
      </c>
      <c r="B702" t="s">
        <v>1223</v>
      </c>
      <c r="C702" t="s">
        <v>2223</v>
      </c>
      <c r="D702" t="s">
        <v>3223</v>
      </c>
      <c r="E702" t="s">
        <v>4223</v>
      </c>
      <c r="F702">
        <v>40</v>
      </c>
      <c r="G702" t="s">
        <v>5015</v>
      </c>
      <c r="H702" t="s">
        <v>5018</v>
      </c>
      <c r="I702" t="s">
        <v>5027</v>
      </c>
      <c r="J702">
        <v>113194</v>
      </c>
      <c r="K702">
        <v>59</v>
      </c>
      <c r="L702" s="7">
        <v>44984</v>
      </c>
      <c r="M702" t="s">
        <v>5028</v>
      </c>
      <c r="N702">
        <v>7</v>
      </c>
      <c r="O702">
        <v>6482</v>
      </c>
    </row>
    <row r="703" spans="1:15" x14ac:dyDescent="0.3">
      <c r="A703" t="s">
        <v>288</v>
      </c>
      <c r="B703" t="s">
        <v>1288</v>
      </c>
      <c r="C703" t="s">
        <v>2288</v>
      </c>
      <c r="D703" t="s">
        <v>3288</v>
      </c>
      <c r="E703" t="s">
        <v>4288</v>
      </c>
      <c r="F703">
        <v>23</v>
      </c>
      <c r="G703" t="s">
        <v>5015</v>
      </c>
      <c r="H703" t="s">
        <v>5020</v>
      </c>
      <c r="I703" t="s">
        <v>5023</v>
      </c>
      <c r="J703">
        <v>113267</v>
      </c>
      <c r="K703">
        <v>39</v>
      </c>
      <c r="L703" s="7">
        <v>45169</v>
      </c>
      <c r="M703" t="s">
        <v>5028</v>
      </c>
      <c r="N703">
        <v>9</v>
      </c>
      <c r="O703">
        <v>6972</v>
      </c>
    </row>
    <row r="704" spans="1:15" x14ac:dyDescent="0.3">
      <c r="A704" t="s">
        <v>257</v>
      </c>
      <c r="B704" t="s">
        <v>1257</v>
      </c>
      <c r="C704" t="s">
        <v>2257</v>
      </c>
      <c r="D704" t="s">
        <v>3257</v>
      </c>
      <c r="E704" t="s">
        <v>4257</v>
      </c>
      <c r="F704">
        <v>31</v>
      </c>
      <c r="G704" t="s">
        <v>5016</v>
      </c>
      <c r="H704" t="s">
        <v>5022</v>
      </c>
      <c r="I704" t="s">
        <v>5023</v>
      </c>
      <c r="J704">
        <v>113368</v>
      </c>
      <c r="K704">
        <v>64</v>
      </c>
      <c r="L704" s="7">
        <v>45252</v>
      </c>
      <c r="M704" t="s">
        <v>5028</v>
      </c>
      <c r="N704">
        <v>8</v>
      </c>
      <c r="O704">
        <v>9234</v>
      </c>
    </row>
    <row r="705" spans="1:15" x14ac:dyDescent="0.3">
      <c r="A705" t="s">
        <v>417</v>
      </c>
      <c r="B705" t="s">
        <v>1417</v>
      </c>
      <c r="C705" t="s">
        <v>2417</v>
      </c>
      <c r="D705" t="s">
        <v>3417</v>
      </c>
      <c r="E705" t="s">
        <v>4417</v>
      </c>
      <c r="F705">
        <v>27</v>
      </c>
      <c r="G705" t="s">
        <v>5016</v>
      </c>
      <c r="H705" t="s">
        <v>5022</v>
      </c>
      <c r="I705" t="s">
        <v>5027</v>
      </c>
      <c r="J705">
        <v>113660</v>
      </c>
      <c r="K705">
        <v>91</v>
      </c>
      <c r="L705" s="7">
        <v>45231</v>
      </c>
      <c r="M705" t="s">
        <v>5029</v>
      </c>
      <c r="N705">
        <v>2</v>
      </c>
      <c r="O705">
        <v>9236</v>
      </c>
    </row>
    <row r="706" spans="1:15" x14ac:dyDescent="0.3">
      <c r="A706" t="s">
        <v>452</v>
      </c>
      <c r="B706" t="s">
        <v>1452</v>
      </c>
      <c r="C706" t="s">
        <v>2452</v>
      </c>
      <c r="D706" t="s">
        <v>3452</v>
      </c>
      <c r="E706" t="s">
        <v>4452</v>
      </c>
      <c r="F706">
        <v>68</v>
      </c>
      <c r="G706" t="s">
        <v>5016</v>
      </c>
      <c r="H706" t="s">
        <v>5022</v>
      </c>
      <c r="I706" t="s">
        <v>5027</v>
      </c>
      <c r="J706">
        <v>113670</v>
      </c>
      <c r="K706">
        <v>53</v>
      </c>
      <c r="L706" s="7">
        <v>44935</v>
      </c>
      <c r="M706" t="s">
        <v>5028</v>
      </c>
      <c r="N706">
        <v>10</v>
      </c>
      <c r="O706">
        <v>8504</v>
      </c>
    </row>
    <row r="707" spans="1:15" x14ac:dyDescent="0.3">
      <c r="A707" t="s">
        <v>647</v>
      </c>
      <c r="B707" t="s">
        <v>1647</v>
      </c>
      <c r="C707" t="s">
        <v>2647</v>
      </c>
      <c r="D707" t="s">
        <v>3647</v>
      </c>
      <c r="E707" t="s">
        <v>4647</v>
      </c>
      <c r="F707">
        <v>20</v>
      </c>
      <c r="G707" t="s">
        <v>5015</v>
      </c>
      <c r="H707" t="s">
        <v>5021</v>
      </c>
      <c r="I707" t="s">
        <v>5024</v>
      </c>
      <c r="J707">
        <v>113783</v>
      </c>
      <c r="K707">
        <v>34</v>
      </c>
      <c r="L707" s="7">
        <v>45054</v>
      </c>
      <c r="M707" t="s">
        <v>5028</v>
      </c>
      <c r="N707">
        <v>3</v>
      </c>
      <c r="O707">
        <v>9877</v>
      </c>
    </row>
    <row r="708" spans="1:15" x14ac:dyDescent="0.3">
      <c r="A708" t="s">
        <v>704</v>
      </c>
      <c r="B708" t="s">
        <v>1704</v>
      </c>
      <c r="C708" t="s">
        <v>2704</v>
      </c>
      <c r="D708" t="s">
        <v>3704</v>
      </c>
      <c r="E708" t="s">
        <v>4704</v>
      </c>
      <c r="F708">
        <v>19</v>
      </c>
      <c r="G708" t="s">
        <v>5017</v>
      </c>
      <c r="H708" t="s">
        <v>5018</v>
      </c>
      <c r="I708" t="s">
        <v>5024</v>
      </c>
      <c r="J708">
        <v>113859</v>
      </c>
      <c r="K708">
        <v>55</v>
      </c>
      <c r="L708" s="7">
        <v>45209</v>
      </c>
      <c r="M708" t="s">
        <v>5028</v>
      </c>
      <c r="N708">
        <v>1</v>
      </c>
      <c r="O708">
        <v>1958</v>
      </c>
    </row>
    <row r="709" spans="1:15" x14ac:dyDescent="0.3">
      <c r="A709" t="s">
        <v>681</v>
      </c>
      <c r="B709" t="s">
        <v>1681</v>
      </c>
      <c r="C709" t="s">
        <v>2681</v>
      </c>
      <c r="D709" t="s">
        <v>3681</v>
      </c>
      <c r="E709" t="s">
        <v>4681</v>
      </c>
      <c r="F709">
        <v>41</v>
      </c>
      <c r="G709" t="s">
        <v>5016</v>
      </c>
      <c r="H709" t="s">
        <v>5018</v>
      </c>
      <c r="I709" t="s">
        <v>5023</v>
      </c>
      <c r="J709">
        <v>113876</v>
      </c>
      <c r="K709">
        <v>2</v>
      </c>
      <c r="L709" s="7">
        <v>44949</v>
      </c>
      <c r="M709" t="s">
        <v>5029</v>
      </c>
      <c r="N709">
        <v>9</v>
      </c>
      <c r="O709">
        <v>9873</v>
      </c>
    </row>
    <row r="710" spans="1:15" x14ac:dyDescent="0.3">
      <c r="A710" t="s">
        <v>76</v>
      </c>
      <c r="B710" t="s">
        <v>1076</v>
      </c>
      <c r="C710" t="s">
        <v>2076</v>
      </c>
      <c r="D710" t="s">
        <v>3076</v>
      </c>
      <c r="E710" t="s">
        <v>4076</v>
      </c>
      <c r="F710">
        <v>69</v>
      </c>
      <c r="G710" t="s">
        <v>5015</v>
      </c>
      <c r="H710" t="s">
        <v>5019</v>
      </c>
      <c r="I710" t="s">
        <v>5027</v>
      </c>
      <c r="J710">
        <v>113878</v>
      </c>
      <c r="K710">
        <v>40</v>
      </c>
      <c r="L710" s="7">
        <v>45125</v>
      </c>
      <c r="M710" t="s">
        <v>5030</v>
      </c>
      <c r="N710">
        <v>3</v>
      </c>
      <c r="O710">
        <v>1118</v>
      </c>
    </row>
    <row r="711" spans="1:15" x14ac:dyDescent="0.3">
      <c r="A711" t="s">
        <v>279</v>
      </c>
      <c r="B711" t="s">
        <v>1279</v>
      </c>
      <c r="C711" t="s">
        <v>2279</v>
      </c>
      <c r="D711" t="s">
        <v>3279</v>
      </c>
      <c r="E711" t="s">
        <v>4279</v>
      </c>
      <c r="F711">
        <v>65</v>
      </c>
      <c r="G711" t="s">
        <v>5017</v>
      </c>
      <c r="H711" t="s">
        <v>5018</v>
      </c>
      <c r="I711" t="s">
        <v>5025</v>
      </c>
      <c r="J711">
        <v>113891</v>
      </c>
      <c r="K711">
        <v>29</v>
      </c>
      <c r="L711" s="7">
        <v>44956</v>
      </c>
      <c r="M711" t="s">
        <v>5028</v>
      </c>
      <c r="N711">
        <v>5</v>
      </c>
      <c r="O711">
        <v>3480</v>
      </c>
    </row>
    <row r="712" spans="1:15" x14ac:dyDescent="0.3">
      <c r="A712" t="s">
        <v>653</v>
      </c>
      <c r="B712" t="s">
        <v>1653</v>
      </c>
      <c r="C712" t="s">
        <v>2653</v>
      </c>
      <c r="D712" t="s">
        <v>3653</v>
      </c>
      <c r="E712" t="s">
        <v>4653</v>
      </c>
      <c r="F712">
        <v>50</v>
      </c>
      <c r="G712" t="s">
        <v>5016</v>
      </c>
      <c r="H712" t="s">
        <v>5020</v>
      </c>
      <c r="I712" t="s">
        <v>5025</v>
      </c>
      <c r="J712">
        <v>114062</v>
      </c>
      <c r="K712">
        <v>75</v>
      </c>
      <c r="L712" s="7">
        <v>44946</v>
      </c>
      <c r="M712" t="s">
        <v>5028</v>
      </c>
      <c r="N712">
        <v>8</v>
      </c>
      <c r="O712">
        <v>7423</v>
      </c>
    </row>
    <row r="713" spans="1:15" x14ac:dyDescent="0.3">
      <c r="A713" t="s">
        <v>868</v>
      </c>
      <c r="B713" t="s">
        <v>1868</v>
      </c>
      <c r="C713" t="s">
        <v>2868</v>
      </c>
      <c r="D713" t="s">
        <v>3868</v>
      </c>
      <c r="E713" t="s">
        <v>4868</v>
      </c>
      <c r="F713">
        <v>34</v>
      </c>
      <c r="G713" t="s">
        <v>5017</v>
      </c>
      <c r="H713" t="s">
        <v>5020</v>
      </c>
      <c r="I713" t="s">
        <v>5026</v>
      </c>
      <c r="J713">
        <v>114217</v>
      </c>
      <c r="K713">
        <v>82</v>
      </c>
      <c r="L713" s="7">
        <v>45017</v>
      </c>
      <c r="M713" t="s">
        <v>5029</v>
      </c>
      <c r="N713">
        <v>9</v>
      </c>
      <c r="O713">
        <v>3697</v>
      </c>
    </row>
    <row r="714" spans="1:15" x14ac:dyDescent="0.3">
      <c r="A714" t="s">
        <v>685</v>
      </c>
      <c r="B714" t="s">
        <v>1685</v>
      </c>
      <c r="C714" t="s">
        <v>2685</v>
      </c>
      <c r="D714" t="s">
        <v>3685</v>
      </c>
      <c r="E714" t="s">
        <v>4685</v>
      </c>
      <c r="F714">
        <v>52</v>
      </c>
      <c r="G714" t="s">
        <v>5017</v>
      </c>
      <c r="H714" t="s">
        <v>5022</v>
      </c>
      <c r="I714" t="s">
        <v>5026</v>
      </c>
      <c r="J714">
        <v>114452</v>
      </c>
      <c r="K714">
        <v>98</v>
      </c>
      <c r="L714" s="7">
        <v>45164</v>
      </c>
      <c r="M714" t="s">
        <v>5029</v>
      </c>
      <c r="N714">
        <v>8</v>
      </c>
      <c r="O714">
        <v>8049</v>
      </c>
    </row>
    <row r="715" spans="1:15" x14ac:dyDescent="0.3">
      <c r="A715" t="s">
        <v>694</v>
      </c>
      <c r="B715" t="s">
        <v>1694</v>
      </c>
      <c r="C715" t="s">
        <v>2694</v>
      </c>
      <c r="D715" t="s">
        <v>3694</v>
      </c>
      <c r="E715" t="s">
        <v>4694</v>
      </c>
      <c r="F715">
        <v>55</v>
      </c>
      <c r="G715" t="s">
        <v>5017</v>
      </c>
      <c r="H715" t="s">
        <v>5018</v>
      </c>
      <c r="I715" t="s">
        <v>5026</v>
      </c>
      <c r="J715">
        <v>114584</v>
      </c>
      <c r="K715">
        <v>84</v>
      </c>
      <c r="L715" s="7">
        <v>45048</v>
      </c>
      <c r="M715" t="s">
        <v>5030</v>
      </c>
      <c r="N715">
        <v>4</v>
      </c>
      <c r="O715">
        <v>7545</v>
      </c>
    </row>
    <row r="716" spans="1:15" x14ac:dyDescent="0.3">
      <c r="A716" t="s">
        <v>762</v>
      </c>
      <c r="B716" t="s">
        <v>1762</v>
      </c>
      <c r="C716" t="s">
        <v>2762</v>
      </c>
      <c r="D716" t="s">
        <v>3762</v>
      </c>
      <c r="E716" t="s">
        <v>4762</v>
      </c>
      <c r="F716">
        <v>49</v>
      </c>
      <c r="G716" t="s">
        <v>5017</v>
      </c>
      <c r="H716" t="s">
        <v>5019</v>
      </c>
      <c r="I716" t="s">
        <v>5024</v>
      </c>
      <c r="J716">
        <v>114850</v>
      </c>
      <c r="K716">
        <v>73</v>
      </c>
      <c r="L716" s="7">
        <v>45148</v>
      </c>
      <c r="M716" t="s">
        <v>5030</v>
      </c>
      <c r="N716">
        <v>8</v>
      </c>
      <c r="O716">
        <v>6403</v>
      </c>
    </row>
    <row r="717" spans="1:15" x14ac:dyDescent="0.3">
      <c r="A717" t="s">
        <v>716</v>
      </c>
      <c r="B717" t="s">
        <v>1716</v>
      </c>
      <c r="C717" t="s">
        <v>2716</v>
      </c>
      <c r="D717" t="s">
        <v>3716</v>
      </c>
      <c r="E717" t="s">
        <v>4716</v>
      </c>
      <c r="F717">
        <v>41</v>
      </c>
      <c r="G717" t="s">
        <v>5017</v>
      </c>
      <c r="H717" t="s">
        <v>5019</v>
      </c>
      <c r="I717" t="s">
        <v>5024</v>
      </c>
      <c r="J717">
        <v>114899</v>
      </c>
      <c r="K717">
        <v>18</v>
      </c>
      <c r="L717" s="7">
        <v>45268</v>
      </c>
      <c r="M717" t="s">
        <v>5030</v>
      </c>
      <c r="N717">
        <v>4</v>
      </c>
      <c r="O717">
        <v>9445</v>
      </c>
    </row>
    <row r="718" spans="1:15" x14ac:dyDescent="0.3">
      <c r="A718" t="s">
        <v>107</v>
      </c>
      <c r="B718" t="s">
        <v>1107</v>
      </c>
      <c r="C718" t="s">
        <v>2107</v>
      </c>
      <c r="D718" t="s">
        <v>3107</v>
      </c>
      <c r="E718" t="s">
        <v>4107</v>
      </c>
      <c r="F718">
        <v>34</v>
      </c>
      <c r="G718" t="s">
        <v>5015</v>
      </c>
      <c r="H718" t="s">
        <v>5018</v>
      </c>
      <c r="I718" t="s">
        <v>5026</v>
      </c>
      <c r="J718">
        <v>114997</v>
      </c>
      <c r="K718">
        <v>13</v>
      </c>
      <c r="L718" s="7">
        <v>45271</v>
      </c>
      <c r="M718" t="s">
        <v>5029</v>
      </c>
      <c r="N718">
        <v>3</v>
      </c>
      <c r="O718">
        <v>810</v>
      </c>
    </row>
    <row r="719" spans="1:15" x14ac:dyDescent="0.3">
      <c r="A719" t="s">
        <v>63</v>
      </c>
      <c r="B719" t="s">
        <v>1063</v>
      </c>
      <c r="C719" t="s">
        <v>2063</v>
      </c>
      <c r="D719" t="s">
        <v>3063</v>
      </c>
      <c r="E719" t="s">
        <v>4063</v>
      </c>
      <c r="F719">
        <v>43</v>
      </c>
      <c r="G719" t="s">
        <v>5016</v>
      </c>
      <c r="H719" t="s">
        <v>5018</v>
      </c>
      <c r="I719" t="s">
        <v>5026</v>
      </c>
      <c r="J719">
        <v>115016</v>
      </c>
      <c r="K719">
        <v>17</v>
      </c>
      <c r="L719" s="7">
        <v>44947</v>
      </c>
      <c r="M719" t="s">
        <v>5030</v>
      </c>
      <c r="N719">
        <v>5</v>
      </c>
      <c r="O719">
        <v>8607</v>
      </c>
    </row>
    <row r="720" spans="1:15" x14ac:dyDescent="0.3">
      <c r="A720" t="s">
        <v>770</v>
      </c>
      <c r="B720" t="s">
        <v>1770</v>
      </c>
      <c r="C720" t="s">
        <v>2770</v>
      </c>
      <c r="D720" t="s">
        <v>3770</v>
      </c>
      <c r="E720" t="s">
        <v>4770</v>
      </c>
      <c r="F720">
        <v>61</v>
      </c>
      <c r="G720" t="s">
        <v>5017</v>
      </c>
      <c r="H720" t="s">
        <v>5019</v>
      </c>
      <c r="I720" t="s">
        <v>5024</v>
      </c>
      <c r="J720">
        <v>115443</v>
      </c>
      <c r="K720">
        <v>23</v>
      </c>
      <c r="L720" s="7">
        <v>44982</v>
      </c>
      <c r="M720" t="s">
        <v>5028</v>
      </c>
      <c r="N720">
        <v>2</v>
      </c>
      <c r="O720">
        <v>5594</v>
      </c>
    </row>
    <row r="721" spans="1:15" x14ac:dyDescent="0.3">
      <c r="A721" t="s">
        <v>712</v>
      </c>
      <c r="B721" t="s">
        <v>1712</v>
      </c>
      <c r="C721" t="s">
        <v>2712</v>
      </c>
      <c r="D721" t="s">
        <v>3712</v>
      </c>
      <c r="E721" t="s">
        <v>4712</v>
      </c>
      <c r="F721">
        <v>67</v>
      </c>
      <c r="G721" t="s">
        <v>5017</v>
      </c>
      <c r="H721" t="s">
        <v>5021</v>
      </c>
      <c r="I721" t="s">
        <v>5026</v>
      </c>
      <c r="J721">
        <v>115457</v>
      </c>
      <c r="K721">
        <v>5</v>
      </c>
      <c r="L721" s="7">
        <v>45240</v>
      </c>
      <c r="M721" t="s">
        <v>5029</v>
      </c>
      <c r="N721">
        <v>5</v>
      </c>
      <c r="O721">
        <v>7027</v>
      </c>
    </row>
    <row r="722" spans="1:15" x14ac:dyDescent="0.3">
      <c r="A722" t="s">
        <v>373</v>
      </c>
      <c r="B722" t="s">
        <v>1373</v>
      </c>
      <c r="C722" t="s">
        <v>2373</v>
      </c>
      <c r="D722" t="s">
        <v>3373</v>
      </c>
      <c r="E722" t="s">
        <v>4373</v>
      </c>
      <c r="F722">
        <v>21</v>
      </c>
      <c r="G722" t="s">
        <v>5015</v>
      </c>
      <c r="H722" t="s">
        <v>5018</v>
      </c>
      <c r="I722" t="s">
        <v>5026</v>
      </c>
      <c r="J722">
        <v>115464</v>
      </c>
      <c r="K722">
        <v>26</v>
      </c>
      <c r="L722" s="7">
        <v>44998</v>
      </c>
      <c r="M722" t="s">
        <v>5029</v>
      </c>
      <c r="N722">
        <v>7</v>
      </c>
      <c r="O722">
        <v>373</v>
      </c>
    </row>
    <row r="723" spans="1:15" x14ac:dyDescent="0.3">
      <c r="A723" t="s">
        <v>791</v>
      </c>
      <c r="B723" t="s">
        <v>1791</v>
      </c>
      <c r="C723" t="s">
        <v>2791</v>
      </c>
      <c r="D723" t="s">
        <v>3791</v>
      </c>
      <c r="E723" t="s">
        <v>4791</v>
      </c>
      <c r="F723">
        <v>19</v>
      </c>
      <c r="G723" t="s">
        <v>5016</v>
      </c>
      <c r="H723" t="s">
        <v>5020</v>
      </c>
      <c r="I723" t="s">
        <v>5025</v>
      </c>
      <c r="J723">
        <v>115601</v>
      </c>
      <c r="K723">
        <v>14</v>
      </c>
      <c r="L723" s="7">
        <v>44966</v>
      </c>
      <c r="M723" t="s">
        <v>5029</v>
      </c>
      <c r="N723">
        <v>6</v>
      </c>
      <c r="O723">
        <v>5548</v>
      </c>
    </row>
    <row r="724" spans="1:15" x14ac:dyDescent="0.3">
      <c r="A724" t="s">
        <v>411</v>
      </c>
      <c r="B724" t="s">
        <v>1411</v>
      </c>
      <c r="C724" t="s">
        <v>2411</v>
      </c>
      <c r="D724" t="s">
        <v>3411</v>
      </c>
      <c r="E724" t="s">
        <v>4411</v>
      </c>
      <c r="F724">
        <v>27</v>
      </c>
      <c r="G724" t="s">
        <v>5017</v>
      </c>
      <c r="H724" t="s">
        <v>5019</v>
      </c>
      <c r="I724" t="s">
        <v>5027</v>
      </c>
      <c r="J724">
        <v>115605</v>
      </c>
      <c r="K724">
        <v>79</v>
      </c>
      <c r="L724" s="7">
        <v>45040</v>
      </c>
      <c r="M724" t="s">
        <v>5030</v>
      </c>
      <c r="N724">
        <v>3</v>
      </c>
      <c r="O724">
        <v>5330</v>
      </c>
    </row>
    <row r="725" spans="1:15" x14ac:dyDescent="0.3">
      <c r="A725" t="s">
        <v>605</v>
      </c>
      <c r="B725" t="s">
        <v>1605</v>
      </c>
      <c r="C725" t="s">
        <v>2605</v>
      </c>
      <c r="D725" t="s">
        <v>3605</v>
      </c>
      <c r="E725" t="s">
        <v>4605</v>
      </c>
      <c r="F725">
        <v>56</v>
      </c>
      <c r="G725" t="s">
        <v>5016</v>
      </c>
      <c r="H725" t="s">
        <v>5020</v>
      </c>
      <c r="I725" t="s">
        <v>5024</v>
      </c>
      <c r="J725">
        <v>115821</v>
      </c>
      <c r="K725">
        <v>53</v>
      </c>
      <c r="L725" s="7">
        <v>45065</v>
      </c>
      <c r="M725" t="s">
        <v>5028</v>
      </c>
      <c r="N725">
        <v>1</v>
      </c>
      <c r="O725">
        <v>6612</v>
      </c>
    </row>
    <row r="726" spans="1:15" x14ac:dyDescent="0.3">
      <c r="A726" t="s">
        <v>984</v>
      </c>
      <c r="B726" t="s">
        <v>1984</v>
      </c>
      <c r="C726" t="s">
        <v>2984</v>
      </c>
      <c r="D726" t="s">
        <v>3984</v>
      </c>
      <c r="E726" t="s">
        <v>4984</v>
      </c>
      <c r="F726">
        <v>20</v>
      </c>
      <c r="G726" t="s">
        <v>5016</v>
      </c>
      <c r="H726" t="s">
        <v>5020</v>
      </c>
      <c r="I726" t="s">
        <v>5026</v>
      </c>
      <c r="J726">
        <v>115924</v>
      </c>
      <c r="K726">
        <v>34</v>
      </c>
      <c r="L726" s="7">
        <v>45171</v>
      </c>
      <c r="M726" t="s">
        <v>5030</v>
      </c>
      <c r="N726">
        <v>1</v>
      </c>
      <c r="O726">
        <v>8544</v>
      </c>
    </row>
    <row r="727" spans="1:15" x14ac:dyDescent="0.3">
      <c r="A727" t="s">
        <v>343</v>
      </c>
      <c r="B727" t="s">
        <v>1343</v>
      </c>
      <c r="C727" t="s">
        <v>2343</v>
      </c>
      <c r="D727" t="s">
        <v>3343</v>
      </c>
      <c r="E727" t="s">
        <v>4343</v>
      </c>
      <c r="F727">
        <v>22</v>
      </c>
      <c r="G727" t="s">
        <v>5017</v>
      </c>
      <c r="H727" t="s">
        <v>5018</v>
      </c>
      <c r="I727" t="s">
        <v>5027</v>
      </c>
      <c r="J727">
        <v>116076</v>
      </c>
      <c r="K727">
        <v>85</v>
      </c>
      <c r="L727" s="7">
        <v>45257</v>
      </c>
      <c r="M727" t="s">
        <v>5030</v>
      </c>
      <c r="N727">
        <v>9</v>
      </c>
      <c r="O727">
        <v>3239</v>
      </c>
    </row>
    <row r="728" spans="1:15" x14ac:dyDescent="0.3">
      <c r="A728" t="s">
        <v>549</v>
      </c>
      <c r="B728" t="s">
        <v>1549</v>
      </c>
      <c r="C728" t="s">
        <v>2549</v>
      </c>
      <c r="D728" t="s">
        <v>3549</v>
      </c>
      <c r="E728" t="s">
        <v>4549</v>
      </c>
      <c r="F728">
        <v>33</v>
      </c>
      <c r="G728" t="s">
        <v>5017</v>
      </c>
      <c r="H728" t="s">
        <v>5019</v>
      </c>
      <c r="I728" t="s">
        <v>5026</v>
      </c>
      <c r="J728">
        <v>116106</v>
      </c>
      <c r="K728">
        <v>33</v>
      </c>
      <c r="L728" s="7">
        <v>45275</v>
      </c>
      <c r="M728" t="s">
        <v>5030</v>
      </c>
      <c r="N728">
        <v>8</v>
      </c>
      <c r="O728">
        <v>5213</v>
      </c>
    </row>
    <row r="729" spans="1:15" x14ac:dyDescent="0.3">
      <c r="A729" t="s">
        <v>309</v>
      </c>
      <c r="B729" t="s">
        <v>1309</v>
      </c>
      <c r="C729" t="s">
        <v>2309</v>
      </c>
      <c r="D729" t="s">
        <v>3309</v>
      </c>
      <c r="E729" t="s">
        <v>4309</v>
      </c>
      <c r="F729">
        <v>19</v>
      </c>
      <c r="G729" t="s">
        <v>5016</v>
      </c>
      <c r="H729" t="s">
        <v>5020</v>
      </c>
      <c r="I729" t="s">
        <v>5024</v>
      </c>
      <c r="J729">
        <v>116173</v>
      </c>
      <c r="K729">
        <v>7</v>
      </c>
      <c r="L729" s="7">
        <v>44952</v>
      </c>
      <c r="M729" t="s">
        <v>5028</v>
      </c>
      <c r="N729">
        <v>9</v>
      </c>
      <c r="O729">
        <v>1421</v>
      </c>
    </row>
    <row r="730" spans="1:15" x14ac:dyDescent="0.3">
      <c r="A730" t="s">
        <v>733</v>
      </c>
      <c r="B730" t="s">
        <v>1733</v>
      </c>
      <c r="C730" t="s">
        <v>2733</v>
      </c>
      <c r="D730" t="s">
        <v>3733</v>
      </c>
      <c r="E730" t="s">
        <v>4733</v>
      </c>
      <c r="F730">
        <v>49</v>
      </c>
      <c r="G730" t="s">
        <v>5015</v>
      </c>
      <c r="H730" t="s">
        <v>5019</v>
      </c>
      <c r="I730" t="s">
        <v>5025</v>
      </c>
      <c r="J730">
        <v>116485</v>
      </c>
      <c r="K730">
        <v>14</v>
      </c>
      <c r="L730" s="7">
        <v>45149</v>
      </c>
      <c r="M730" t="s">
        <v>5028</v>
      </c>
      <c r="N730">
        <v>2</v>
      </c>
      <c r="O730">
        <v>6103</v>
      </c>
    </row>
    <row r="731" spans="1:15" x14ac:dyDescent="0.3">
      <c r="A731" t="s">
        <v>904</v>
      </c>
      <c r="B731" t="s">
        <v>1904</v>
      </c>
      <c r="C731" t="s">
        <v>2904</v>
      </c>
      <c r="D731" t="s">
        <v>3904</v>
      </c>
      <c r="E731" t="s">
        <v>4904</v>
      </c>
      <c r="F731">
        <v>66</v>
      </c>
      <c r="G731" t="s">
        <v>5017</v>
      </c>
      <c r="H731" t="s">
        <v>5018</v>
      </c>
      <c r="I731" t="s">
        <v>5026</v>
      </c>
      <c r="J731">
        <v>116647</v>
      </c>
      <c r="K731">
        <v>4</v>
      </c>
      <c r="L731" s="7">
        <v>45083</v>
      </c>
      <c r="M731" t="s">
        <v>5029</v>
      </c>
      <c r="N731">
        <v>3</v>
      </c>
      <c r="O731">
        <v>9150</v>
      </c>
    </row>
    <row r="732" spans="1:15" x14ac:dyDescent="0.3">
      <c r="A732" t="s">
        <v>444</v>
      </c>
      <c r="B732" t="s">
        <v>1444</v>
      </c>
      <c r="C732" t="s">
        <v>2444</v>
      </c>
      <c r="D732" t="s">
        <v>3444</v>
      </c>
      <c r="E732" t="s">
        <v>4444</v>
      </c>
      <c r="F732">
        <v>21</v>
      </c>
      <c r="G732" t="s">
        <v>5017</v>
      </c>
      <c r="H732" t="s">
        <v>5020</v>
      </c>
      <c r="I732" t="s">
        <v>5025</v>
      </c>
      <c r="J732">
        <v>116676</v>
      </c>
      <c r="K732">
        <v>74</v>
      </c>
      <c r="L732" s="7">
        <v>45220</v>
      </c>
      <c r="M732" t="s">
        <v>5029</v>
      </c>
      <c r="N732">
        <v>8</v>
      </c>
      <c r="O732">
        <v>9142</v>
      </c>
    </row>
    <row r="733" spans="1:15" x14ac:dyDescent="0.3">
      <c r="A733" t="s">
        <v>244</v>
      </c>
      <c r="B733" t="s">
        <v>1244</v>
      </c>
      <c r="C733" t="s">
        <v>2244</v>
      </c>
      <c r="D733" t="s">
        <v>3244</v>
      </c>
      <c r="E733" t="s">
        <v>4244</v>
      </c>
      <c r="F733">
        <v>69</v>
      </c>
      <c r="G733" t="s">
        <v>5015</v>
      </c>
      <c r="H733" t="s">
        <v>5018</v>
      </c>
      <c r="I733" t="s">
        <v>5026</v>
      </c>
      <c r="J733">
        <v>116782</v>
      </c>
      <c r="K733">
        <v>28</v>
      </c>
      <c r="L733" s="7">
        <v>45196</v>
      </c>
      <c r="M733" t="s">
        <v>5030</v>
      </c>
      <c r="N733">
        <v>6</v>
      </c>
      <c r="O733">
        <v>6387</v>
      </c>
    </row>
    <row r="734" spans="1:15" x14ac:dyDescent="0.3">
      <c r="A734" t="s">
        <v>200</v>
      </c>
      <c r="B734" t="s">
        <v>1200</v>
      </c>
      <c r="C734" t="s">
        <v>2200</v>
      </c>
      <c r="D734" t="s">
        <v>3200</v>
      </c>
      <c r="E734" t="s">
        <v>4200</v>
      </c>
      <c r="F734">
        <v>28</v>
      </c>
      <c r="G734" t="s">
        <v>5016</v>
      </c>
      <c r="H734" t="s">
        <v>5018</v>
      </c>
      <c r="I734" t="s">
        <v>5024</v>
      </c>
      <c r="J734">
        <v>116827</v>
      </c>
      <c r="K734">
        <v>4</v>
      </c>
      <c r="L734" s="7">
        <v>45046</v>
      </c>
      <c r="M734" t="s">
        <v>5029</v>
      </c>
      <c r="N734">
        <v>4</v>
      </c>
      <c r="O734">
        <v>705</v>
      </c>
    </row>
    <row r="735" spans="1:15" x14ac:dyDescent="0.3">
      <c r="A735" t="s">
        <v>324</v>
      </c>
      <c r="B735" t="s">
        <v>1324</v>
      </c>
      <c r="C735" t="s">
        <v>2324</v>
      </c>
      <c r="D735" t="s">
        <v>3324</v>
      </c>
      <c r="E735" t="s">
        <v>4324</v>
      </c>
      <c r="F735">
        <v>46</v>
      </c>
      <c r="G735" t="s">
        <v>5017</v>
      </c>
      <c r="H735" t="s">
        <v>5018</v>
      </c>
      <c r="I735" t="s">
        <v>5027</v>
      </c>
      <c r="J735">
        <v>116885</v>
      </c>
      <c r="K735">
        <v>52</v>
      </c>
      <c r="L735" s="7">
        <v>45284</v>
      </c>
      <c r="M735" t="s">
        <v>5029</v>
      </c>
      <c r="N735">
        <v>10</v>
      </c>
      <c r="O735">
        <v>9460</v>
      </c>
    </row>
    <row r="736" spans="1:15" x14ac:dyDescent="0.3">
      <c r="A736" t="s">
        <v>214</v>
      </c>
      <c r="B736" t="s">
        <v>1214</v>
      </c>
      <c r="C736" t="s">
        <v>2214</v>
      </c>
      <c r="D736" t="s">
        <v>3214</v>
      </c>
      <c r="E736" t="s">
        <v>4214</v>
      </c>
      <c r="F736">
        <v>64</v>
      </c>
      <c r="G736" t="s">
        <v>5016</v>
      </c>
      <c r="H736" t="s">
        <v>5019</v>
      </c>
      <c r="I736" t="s">
        <v>5027</v>
      </c>
      <c r="J736">
        <v>116901</v>
      </c>
      <c r="K736">
        <v>89</v>
      </c>
      <c r="L736" s="7">
        <v>45182</v>
      </c>
      <c r="M736" t="s">
        <v>5028</v>
      </c>
      <c r="N736">
        <v>1</v>
      </c>
      <c r="O736">
        <v>7638</v>
      </c>
    </row>
    <row r="737" spans="1:15" x14ac:dyDescent="0.3">
      <c r="A737" t="s">
        <v>432</v>
      </c>
      <c r="B737" t="s">
        <v>1432</v>
      </c>
      <c r="C737" t="s">
        <v>2432</v>
      </c>
      <c r="D737" t="s">
        <v>3432</v>
      </c>
      <c r="E737" t="s">
        <v>4432</v>
      </c>
      <c r="F737">
        <v>50</v>
      </c>
      <c r="G737" t="s">
        <v>5017</v>
      </c>
      <c r="H737" t="s">
        <v>5019</v>
      </c>
      <c r="I737" t="s">
        <v>5027</v>
      </c>
      <c r="J737">
        <v>117555</v>
      </c>
      <c r="K737">
        <v>62</v>
      </c>
      <c r="L737" s="7">
        <v>44969</v>
      </c>
      <c r="M737" t="s">
        <v>5030</v>
      </c>
      <c r="N737">
        <v>8</v>
      </c>
      <c r="O737">
        <v>7432</v>
      </c>
    </row>
    <row r="738" spans="1:15" x14ac:dyDescent="0.3">
      <c r="A738" t="s">
        <v>476</v>
      </c>
      <c r="B738" t="s">
        <v>1476</v>
      </c>
      <c r="C738" t="s">
        <v>2476</v>
      </c>
      <c r="D738" t="s">
        <v>3476</v>
      </c>
      <c r="E738" t="s">
        <v>4476</v>
      </c>
      <c r="F738">
        <v>54</v>
      </c>
      <c r="G738" t="s">
        <v>5016</v>
      </c>
      <c r="H738" t="s">
        <v>5021</v>
      </c>
      <c r="I738" t="s">
        <v>5023</v>
      </c>
      <c r="J738">
        <v>117559</v>
      </c>
      <c r="K738">
        <v>51</v>
      </c>
      <c r="L738" s="7">
        <v>45005</v>
      </c>
      <c r="M738" t="s">
        <v>5030</v>
      </c>
      <c r="N738">
        <v>9</v>
      </c>
      <c r="O738">
        <v>1229</v>
      </c>
    </row>
    <row r="739" spans="1:15" x14ac:dyDescent="0.3">
      <c r="A739" t="s">
        <v>310</v>
      </c>
      <c r="B739" t="s">
        <v>1310</v>
      </c>
      <c r="C739" t="s">
        <v>2310</v>
      </c>
      <c r="D739" t="s">
        <v>3310</v>
      </c>
      <c r="E739" t="s">
        <v>4310</v>
      </c>
      <c r="F739">
        <v>63</v>
      </c>
      <c r="G739" t="s">
        <v>5016</v>
      </c>
      <c r="H739" t="s">
        <v>5019</v>
      </c>
      <c r="I739" t="s">
        <v>5027</v>
      </c>
      <c r="J739">
        <v>117564</v>
      </c>
      <c r="K739">
        <v>79</v>
      </c>
      <c r="L739" s="7">
        <v>45166</v>
      </c>
      <c r="M739" t="s">
        <v>5029</v>
      </c>
      <c r="N739">
        <v>8</v>
      </c>
      <c r="O739">
        <v>7492</v>
      </c>
    </row>
    <row r="740" spans="1:15" x14ac:dyDescent="0.3">
      <c r="A740" t="s">
        <v>312</v>
      </c>
      <c r="B740" t="s">
        <v>1312</v>
      </c>
      <c r="C740" t="s">
        <v>2312</v>
      </c>
      <c r="D740" t="s">
        <v>3312</v>
      </c>
      <c r="E740" t="s">
        <v>4312</v>
      </c>
      <c r="F740">
        <v>32</v>
      </c>
      <c r="G740" t="s">
        <v>5017</v>
      </c>
      <c r="H740" t="s">
        <v>5019</v>
      </c>
      <c r="I740" t="s">
        <v>5025</v>
      </c>
      <c r="J740">
        <v>117577</v>
      </c>
      <c r="K740">
        <v>58</v>
      </c>
      <c r="L740" s="7">
        <v>45102</v>
      </c>
      <c r="M740" t="s">
        <v>5028</v>
      </c>
      <c r="N740">
        <v>4</v>
      </c>
      <c r="O740">
        <v>5160</v>
      </c>
    </row>
    <row r="741" spans="1:15" x14ac:dyDescent="0.3">
      <c r="A741" t="s">
        <v>232</v>
      </c>
      <c r="B741" t="s">
        <v>1232</v>
      </c>
      <c r="C741" t="s">
        <v>2232</v>
      </c>
      <c r="D741" t="s">
        <v>3232</v>
      </c>
      <c r="E741" t="s">
        <v>4232</v>
      </c>
      <c r="F741">
        <v>68</v>
      </c>
      <c r="G741" t="s">
        <v>5016</v>
      </c>
      <c r="H741" t="s">
        <v>5018</v>
      </c>
      <c r="I741" t="s">
        <v>5024</v>
      </c>
      <c r="J741">
        <v>117754</v>
      </c>
      <c r="K741">
        <v>86</v>
      </c>
      <c r="L741" s="7">
        <v>44965</v>
      </c>
      <c r="M741" t="s">
        <v>5029</v>
      </c>
      <c r="N741">
        <v>10</v>
      </c>
      <c r="O741">
        <v>2128</v>
      </c>
    </row>
    <row r="742" spans="1:15" x14ac:dyDescent="0.3">
      <c r="A742" t="s">
        <v>964</v>
      </c>
      <c r="B742" t="s">
        <v>1964</v>
      </c>
      <c r="C742" t="s">
        <v>2964</v>
      </c>
      <c r="D742" t="s">
        <v>3964</v>
      </c>
      <c r="E742" t="s">
        <v>4964</v>
      </c>
      <c r="F742">
        <v>35</v>
      </c>
      <c r="G742" t="s">
        <v>5016</v>
      </c>
      <c r="H742" t="s">
        <v>5021</v>
      </c>
      <c r="I742" t="s">
        <v>5023</v>
      </c>
      <c r="J742">
        <v>117846</v>
      </c>
      <c r="K742">
        <v>11</v>
      </c>
      <c r="L742" s="7">
        <v>45133</v>
      </c>
      <c r="M742" t="s">
        <v>5029</v>
      </c>
      <c r="N742">
        <v>8</v>
      </c>
      <c r="O742">
        <v>9787</v>
      </c>
    </row>
    <row r="743" spans="1:15" x14ac:dyDescent="0.3">
      <c r="A743" t="s">
        <v>717</v>
      </c>
      <c r="B743" t="s">
        <v>1717</v>
      </c>
      <c r="C743" t="s">
        <v>2717</v>
      </c>
      <c r="D743" t="s">
        <v>3717</v>
      </c>
      <c r="E743" t="s">
        <v>4717</v>
      </c>
      <c r="F743">
        <v>34</v>
      </c>
      <c r="G743" t="s">
        <v>5015</v>
      </c>
      <c r="H743" t="s">
        <v>5022</v>
      </c>
      <c r="I743" t="s">
        <v>5024</v>
      </c>
      <c r="J743">
        <v>118112</v>
      </c>
      <c r="K743">
        <v>38</v>
      </c>
      <c r="L743" s="7">
        <v>44986</v>
      </c>
      <c r="M743" t="s">
        <v>5030</v>
      </c>
      <c r="N743">
        <v>9</v>
      </c>
      <c r="O743">
        <v>2345</v>
      </c>
    </row>
    <row r="744" spans="1:15" x14ac:dyDescent="0.3">
      <c r="A744" t="s">
        <v>994</v>
      </c>
      <c r="B744" t="s">
        <v>1994</v>
      </c>
      <c r="C744" t="s">
        <v>2994</v>
      </c>
      <c r="D744" t="s">
        <v>3994</v>
      </c>
      <c r="E744" t="s">
        <v>4994</v>
      </c>
      <c r="F744">
        <v>69</v>
      </c>
      <c r="G744" t="s">
        <v>5016</v>
      </c>
      <c r="H744" t="s">
        <v>5022</v>
      </c>
      <c r="I744" t="s">
        <v>5025</v>
      </c>
      <c r="J744">
        <v>118213</v>
      </c>
      <c r="K744">
        <v>70</v>
      </c>
      <c r="L744" s="7">
        <v>45063</v>
      </c>
      <c r="M744" t="s">
        <v>5028</v>
      </c>
      <c r="N744">
        <v>7</v>
      </c>
      <c r="O744">
        <v>9282</v>
      </c>
    </row>
    <row r="745" spans="1:15" x14ac:dyDescent="0.3">
      <c r="A745" t="s">
        <v>550</v>
      </c>
      <c r="B745" t="s">
        <v>1550</v>
      </c>
      <c r="C745" t="s">
        <v>2550</v>
      </c>
      <c r="D745" t="s">
        <v>3550</v>
      </c>
      <c r="E745" t="s">
        <v>4550</v>
      </c>
      <c r="F745">
        <v>36</v>
      </c>
      <c r="G745" t="s">
        <v>5015</v>
      </c>
      <c r="H745" t="s">
        <v>5021</v>
      </c>
      <c r="I745" t="s">
        <v>5023</v>
      </c>
      <c r="J745">
        <v>118235</v>
      </c>
      <c r="K745">
        <v>82</v>
      </c>
      <c r="L745" s="7">
        <v>44972</v>
      </c>
      <c r="M745" t="s">
        <v>5030</v>
      </c>
      <c r="N745">
        <v>9</v>
      </c>
      <c r="O745">
        <v>9778</v>
      </c>
    </row>
    <row r="746" spans="1:15" x14ac:dyDescent="0.3">
      <c r="A746" t="s">
        <v>935</v>
      </c>
      <c r="B746" t="s">
        <v>1935</v>
      </c>
      <c r="C746" t="s">
        <v>2935</v>
      </c>
      <c r="D746" t="s">
        <v>3935</v>
      </c>
      <c r="E746" t="s">
        <v>4935</v>
      </c>
      <c r="F746">
        <v>18</v>
      </c>
      <c r="G746" t="s">
        <v>5016</v>
      </c>
      <c r="H746" t="s">
        <v>5018</v>
      </c>
      <c r="I746" t="s">
        <v>5027</v>
      </c>
      <c r="J746">
        <v>118364</v>
      </c>
      <c r="K746">
        <v>11</v>
      </c>
      <c r="L746" s="7">
        <v>45077</v>
      </c>
      <c r="M746" t="s">
        <v>5029</v>
      </c>
      <c r="N746">
        <v>4</v>
      </c>
      <c r="O746">
        <v>9042</v>
      </c>
    </row>
    <row r="747" spans="1:15" x14ac:dyDescent="0.3">
      <c r="A747" t="s">
        <v>777</v>
      </c>
      <c r="B747" t="s">
        <v>1777</v>
      </c>
      <c r="C747" t="s">
        <v>2777</v>
      </c>
      <c r="D747" t="s">
        <v>3777</v>
      </c>
      <c r="E747" t="s">
        <v>4777</v>
      </c>
      <c r="F747">
        <v>21</v>
      </c>
      <c r="G747" t="s">
        <v>5015</v>
      </c>
      <c r="H747" t="s">
        <v>5020</v>
      </c>
      <c r="I747" t="s">
        <v>5027</v>
      </c>
      <c r="J747">
        <v>118390</v>
      </c>
      <c r="K747">
        <v>79</v>
      </c>
      <c r="L747" s="7">
        <v>45099</v>
      </c>
      <c r="M747" t="s">
        <v>5028</v>
      </c>
      <c r="N747">
        <v>3</v>
      </c>
      <c r="O747">
        <v>5911</v>
      </c>
    </row>
    <row r="748" spans="1:15" x14ac:dyDescent="0.3">
      <c r="A748" t="s">
        <v>619</v>
      </c>
      <c r="B748" t="s">
        <v>1619</v>
      </c>
      <c r="C748" t="s">
        <v>2619</v>
      </c>
      <c r="D748" t="s">
        <v>3619</v>
      </c>
      <c r="E748" t="s">
        <v>4619</v>
      </c>
      <c r="F748">
        <v>52</v>
      </c>
      <c r="G748" t="s">
        <v>5015</v>
      </c>
      <c r="H748" t="s">
        <v>5022</v>
      </c>
      <c r="I748" t="s">
        <v>5026</v>
      </c>
      <c r="J748">
        <v>118391</v>
      </c>
      <c r="K748">
        <v>100</v>
      </c>
      <c r="L748" s="7">
        <v>45292</v>
      </c>
      <c r="M748" t="s">
        <v>5030</v>
      </c>
      <c r="N748">
        <v>4</v>
      </c>
      <c r="O748">
        <v>1561</v>
      </c>
    </row>
    <row r="749" spans="1:15" x14ac:dyDescent="0.3">
      <c r="A749" t="s">
        <v>54</v>
      </c>
      <c r="B749" t="s">
        <v>1054</v>
      </c>
      <c r="C749" t="s">
        <v>2054</v>
      </c>
      <c r="D749" t="s">
        <v>3054</v>
      </c>
      <c r="E749" t="s">
        <v>4054</v>
      </c>
      <c r="F749">
        <v>62</v>
      </c>
      <c r="G749" t="s">
        <v>5017</v>
      </c>
      <c r="H749" t="s">
        <v>5020</v>
      </c>
      <c r="I749" t="s">
        <v>5024</v>
      </c>
      <c r="J749">
        <v>119108</v>
      </c>
      <c r="K749">
        <v>94</v>
      </c>
      <c r="L749" s="7">
        <v>45115</v>
      </c>
      <c r="M749" t="s">
        <v>5030</v>
      </c>
      <c r="N749">
        <v>9</v>
      </c>
      <c r="O749">
        <v>6609</v>
      </c>
    </row>
    <row r="750" spans="1:15" x14ac:dyDescent="0.3">
      <c r="A750" t="s">
        <v>443</v>
      </c>
      <c r="B750" t="s">
        <v>1443</v>
      </c>
      <c r="C750" t="s">
        <v>2443</v>
      </c>
      <c r="D750" t="s">
        <v>3443</v>
      </c>
      <c r="E750" t="s">
        <v>4443</v>
      </c>
      <c r="F750">
        <v>32</v>
      </c>
      <c r="G750" t="s">
        <v>5015</v>
      </c>
      <c r="H750" t="s">
        <v>5021</v>
      </c>
      <c r="I750" t="s">
        <v>5025</v>
      </c>
      <c r="J750">
        <v>119155</v>
      </c>
      <c r="K750">
        <v>42</v>
      </c>
      <c r="L750" s="7">
        <v>45096</v>
      </c>
      <c r="M750" t="s">
        <v>5029</v>
      </c>
      <c r="N750">
        <v>8</v>
      </c>
      <c r="O750">
        <v>6495</v>
      </c>
    </row>
    <row r="751" spans="1:15" x14ac:dyDescent="0.3">
      <c r="A751" t="s">
        <v>49</v>
      </c>
      <c r="B751" t="s">
        <v>1049</v>
      </c>
      <c r="C751" t="s">
        <v>2049</v>
      </c>
      <c r="D751" t="s">
        <v>3049</v>
      </c>
      <c r="E751" t="s">
        <v>4049</v>
      </c>
      <c r="F751">
        <v>43</v>
      </c>
      <c r="G751" t="s">
        <v>5017</v>
      </c>
      <c r="H751" t="s">
        <v>5022</v>
      </c>
      <c r="I751" t="s">
        <v>5026</v>
      </c>
      <c r="J751">
        <v>119434</v>
      </c>
      <c r="K751">
        <v>99</v>
      </c>
      <c r="L751" s="7">
        <v>45192</v>
      </c>
      <c r="M751" t="s">
        <v>5030</v>
      </c>
      <c r="N751">
        <v>2</v>
      </c>
      <c r="O751">
        <v>2757</v>
      </c>
    </row>
    <row r="752" spans="1:15" x14ac:dyDescent="0.3">
      <c r="A752" t="s">
        <v>215</v>
      </c>
      <c r="B752" t="s">
        <v>1215</v>
      </c>
      <c r="C752" t="s">
        <v>2215</v>
      </c>
      <c r="D752" t="s">
        <v>3215</v>
      </c>
      <c r="E752" t="s">
        <v>4215</v>
      </c>
      <c r="F752">
        <v>33</v>
      </c>
      <c r="G752" t="s">
        <v>5015</v>
      </c>
      <c r="H752" t="s">
        <v>5021</v>
      </c>
      <c r="I752" t="s">
        <v>5024</v>
      </c>
      <c r="J752">
        <v>119555</v>
      </c>
      <c r="K752">
        <v>13</v>
      </c>
      <c r="L752" s="7">
        <v>45266</v>
      </c>
      <c r="M752" t="s">
        <v>5029</v>
      </c>
      <c r="N752">
        <v>2</v>
      </c>
      <c r="O752">
        <v>1615</v>
      </c>
    </row>
    <row r="753" spans="1:15" x14ac:dyDescent="0.3">
      <c r="A753" t="s">
        <v>329</v>
      </c>
      <c r="B753" t="s">
        <v>1329</v>
      </c>
      <c r="C753" t="s">
        <v>2329</v>
      </c>
      <c r="D753" t="s">
        <v>3329</v>
      </c>
      <c r="E753" t="s">
        <v>4329</v>
      </c>
      <c r="F753">
        <v>32</v>
      </c>
      <c r="G753" t="s">
        <v>5015</v>
      </c>
      <c r="H753" t="s">
        <v>5018</v>
      </c>
      <c r="I753" t="s">
        <v>5026</v>
      </c>
      <c r="J753">
        <v>119626</v>
      </c>
      <c r="K753">
        <v>15</v>
      </c>
      <c r="L753" s="7">
        <v>45154</v>
      </c>
      <c r="M753" t="s">
        <v>5030</v>
      </c>
      <c r="N753">
        <v>2</v>
      </c>
      <c r="O753">
        <v>9064</v>
      </c>
    </row>
    <row r="754" spans="1:15" x14ac:dyDescent="0.3">
      <c r="A754" t="s">
        <v>16</v>
      </c>
      <c r="B754" t="s">
        <v>1016</v>
      </c>
      <c r="C754" t="s">
        <v>2016</v>
      </c>
      <c r="D754" t="s">
        <v>3016</v>
      </c>
      <c r="E754" t="s">
        <v>4016</v>
      </c>
      <c r="F754">
        <v>38</v>
      </c>
      <c r="G754" t="s">
        <v>5015</v>
      </c>
      <c r="H754" t="s">
        <v>5019</v>
      </c>
      <c r="I754" t="s">
        <v>5023</v>
      </c>
      <c r="J754">
        <v>119916</v>
      </c>
      <c r="K754">
        <v>8</v>
      </c>
      <c r="L754" s="7">
        <v>45232</v>
      </c>
      <c r="M754" t="s">
        <v>5028</v>
      </c>
      <c r="N754">
        <v>9</v>
      </c>
      <c r="O754">
        <v>3727</v>
      </c>
    </row>
    <row r="755" spans="1:15" x14ac:dyDescent="0.3">
      <c r="A755" t="s">
        <v>226</v>
      </c>
      <c r="B755" t="s">
        <v>1226</v>
      </c>
      <c r="C755" t="s">
        <v>2226</v>
      </c>
      <c r="D755" t="s">
        <v>3226</v>
      </c>
      <c r="E755" t="s">
        <v>4226</v>
      </c>
      <c r="F755">
        <v>36</v>
      </c>
      <c r="G755" t="s">
        <v>5015</v>
      </c>
      <c r="H755" t="s">
        <v>5020</v>
      </c>
      <c r="I755" t="s">
        <v>5023</v>
      </c>
      <c r="J755">
        <v>120014</v>
      </c>
      <c r="K755">
        <v>39</v>
      </c>
      <c r="L755" s="7">
        <v>45107</v>
      </c>
      <c r="M755" t="s">
        <v>5029</v>
      </c>
      <c r="N755">
        <v>5</v>
      </c>
      <c r="O755">
        <v>5747</v>
      </c>
    </row>
    <row r="756" spans="1:15" x14ac:dyDescent="0.3">
      <c r="A756" t="s">
        <v>495</v>
      </c>
      <c r="B756" t="s">
        <v>1495</v>
      </c>
      <c r="C756" t="s">
        <v>2495</v>
      </c>
      <c r="D756" t="s">
        <v>3495</v>
      </c>
      <c r="E756" t="s">
        <v>4495</v>
      </c>
      <c r="F756">
        <v>59</v>
      </c>
      <c r="G756" t="s">
        <v>5017</v>
      </c>
      <c r="H756" t="s">
        <v>5019</v>
      </c>
      <c r="I756" t="s">
        <v>5026</v>
      </c>
      <c r="J756">
        <v>120262</v>
      </c>
      <c r="K756">
        <v>34</v>
      </c>
      <c r="L756" s="7">
        <v>45069</v>
      </c>
      <c r="M756" t="s">
        <v>5029</v>
      </c>
      <c r="N756">
        <v>2</v>
      </c>
      <c r="O756">
        <v>3733</v>
      </c>
    </row>
    <row r="757" spans="1:15" x14ac:dyDescent="0.3">
      <c r="A757" t="s">
        <v>501</v>
      </c>
      <c r="B757" t="s">
        <v>1501</v>
      </c>
      <c r="C757" t="s">
        <v>2501</v>
      </c>
      <c r="D757" t="s">
        <v>3501</v>
      </c>
      <c r="E757" t="s">
        <v>4501</v>
      </c>
      <c r="F757">
        <v>47</v>
      </c>
      <c r="G757" t="s">
        <v>5017</v>
      </c>
      <c r="H757" t="s">
        <v>5019</v>
      </c>
      <c r="I757" t="s">
        <v>5024</v>
      </c>
      <c r="J757">
        <v>120363</v>
      </c>
      <c r="K757">
        <v>50</v>
      </c>
      <c r="L757" s="7">
        <v>45287</v>
      </c>
      <c r="M757" t="s">
        <v>5029</v>
      </c>
      <c r="N757">
        <v>7</v>
      </c>
      <c r="O757">
        <v>2617</v>
      </c>
    </row>
    <row r="758" spans="1:15" x14ac:dyDescent="0.3">
      <c r="A758" t="s">
        <v>925</v>
      </c>
      <c r="B758" t="s">
        <v>1925</v>
      </c>
      <c r="C758" t="s">
        <v>2925</v>
      </c>
      <c r="D758" t="s">
        <v>3925</v>
      </c>
      <c r="E758" t="s">
        <v>4925</v>
      </c>
      <c r="F758">
        <v>18</v>
      </c>
      <c r="G758" t="s">
        <v>5017</v>
      </c>
      <c r="H758" t="s">
        <v>5019</v>
      </c>
      <c r="I758" t="s">
        <v>5026</v>
      </c>
      <c r="J758">
        <v>120412</v>
      </c>
      <c r="K758">
        <v>15</v>
      </c>
      <c r="L758" s="7">
        <v>45154</v>
      </c>
      <c r="M758" t="s">
        <v>5030</v>
      </c>
      <c r="N758">
        <v>3</v>
      </c>
      <c r="O758">
        <v>8253</v>
      </c>
    </row>
    <row r="759" spans="1:15" x14ac:dyDescent="0.3">
      <c r="A759" t="s">
        <v>295</v>
      </c>
      <c r="B759" t="s">
        <v>1295</v>
      </c>
      <c r="C759" t="s">
        <v>2295</v>
      </c>
      <c r="D759" t="s">
        <v>3295</v>
      </c>
      <c r="E759" t="s">
        <v>4295</v>
      </c>
      <c r="F759">
        <v>53</v>
      </c>
      <c r="G759" t="s">
        <v>5017</v>
      </c>
      <c r="H759" t="s">
        <v>5018</v>
      </c>
      <c r="I759" t="s">
        <v>5024</v>
      </c>
      <c r="J759">
        <v>120477</v>
      </c>
      <c r="K759">
        <v>5</v>
      </c>
      <c r="L759" s="7">
        <v>45253</v>
      </c>
      <c r="M759" t="s">
        <v>5030</v>
      </c>
      <c r="N759">
        <v>1</v>
      </c>
      <c r="O759">
        <v>3834</v>
      </c>
    </row>
    <row r="760" spans="1:15" x14ac:dyDescent="0.3">
      <c r="A760" t="s">
        <v>86</v>
      </c>
      <c r="B760" t="s">
        <v>1086</v>
      </c>
      <c r="C760" t="s">
        <v>2086</v>
      </c>
      <c r="D760" t="s">
        <v>3086</v>
      </c>
      <c r="E760" t="s">
        <v>4086</v>
      </c>
      <c r="F760">
        <v>26</v>
      </c>
      <c r="G760" t="s">
        <v>5017</v>
      </c>
      <c r="H760" t="s">
        <v>5022</v>
      </c>
      <c r="I760" t="s">
        <v>5023</v>
      </c>
      <c r="J760">
        <v>120582</v>
      </c>
      <c r="K760">
        <v>28</v>
      </c>
      <c r="L760" s="7">
        <v>45099</v>
      </c>
      <c r="M760" t="s">
        <v>5028</v>
      </c>
      <c r="N760">
        <v>7</v>
      </c>
      <c r="O760">
        <v>6377</v>
      </c>
    </row>
    <row r="761" spans="1:15" x14ac:dyDescent="0.3">
      <c r="A761" t="s">
        <v>34</v>
      </c>
      <c r="B761" t="s">
        <v>1034</v>
      </c>
      <c r="C761" t="s">
        <v>2034</v>
      </c>
      <c r="D761" t="s">
        <v>3034</v>
      </c>
      <c r="E761" t="s">
        <v>4034</v>
      </c>
      <c r="F761">
        <v>62</v>
      </c>
      <c r="G761" t="s">
        <v>5015</v>
      </c>
      <c r="H761" t="s">
        <v>5021</v>
      </c>
      <c r="I761" t="s">
        <v>5025</v>
      </c>
      <c r="J761">
        <v>120646</v>
      </c>
      <c r="K761">
        <v>50</v>
      </c>
      <c r="L761" s="7">
        <v>45217</v>
      </c>
      <c r="M761" t="s">
        <v>5028</v>
      </c>
      <c r="N761">
        <v>8</v>
      </c>
      <c r="O761">
        <v>2753</v>
      </c>
    </row>
    <row r="762" spans="1:15" x14ac:dyDescent="0.3">
      <c r="A762" t="s">
        <v>579</v>
      </c>
      <c r="B762" t="s">
        <v>1579</v>
      </c>
      <c r="C762" t="s">
        <v>2579</v>
      </c>
      <c r="D762" t="s">
        <v>3579</v>
      </c>
      <c r="E762" t="s">
        <v>4579</v>
      </c>
      <c r="F762">
        <v>67</v>
      </c>
      <c r="G762" t="s">
        <v>5016</v>
      </c>
      <c r="H762" t="s">
        <v>5018</v>
      </c>
      <c r="I762" t="s">
        <v>5023</v>
      </c>
      <c r="J762">
        <v>121194</v>
      </c>
      <c r="K762">
        <v>64</v>
      </c>
      <c r="L762" s="7">
        <v>45027</v>
      </c>
      <c r="M762" t="s">
        <v>5030</v>
      </c>
      <c r="N762">
        <v>9</v>
      </c>
      <c r="O762">
        <v>4064</v>
      </c>
    </row>
    <row r="763" spans="1:15" x14ac:dyDescent="0.3">
      <c r="A763" t="s">
        <v>241</v>
      </c>
      <c r="B763" t="s">
        <v>1241</v>
      </c>
      <c r="C763" t="s">
        <v>2241</v>
      </c>
      <c r="D763" t="s">
        <v>3241</v>
      </c>
      <c r="E763" t="s">
        <v>4241</v>
      </c>
      <c r="F763">
        <v>62</v>
      </c>
      <c r="G763" t="s">
        <v>5017</v>
      </c>
      <c r="H763" t="s">
        <v>5020</v>
      </c>
      <c r="I763" t="s">
        <v>5024</v>
      </c>
      <c r="J763">
        <v>121211</v>
      </c>
      <c r="K763">
        <v>13</v>
      </c>
      <c r="L763" s="7">
        <v>45242</v>
      </c>
      <c r="M763" t="s">
        <v>5030</v>
      </c>
      <c r="N763">
        <v>6</v>
      </c>
      <c r="O763">
        <v>3992</v>
      </c>
    </row>
    <row r="764" spans="1:15" x14ac:dyDescent="0.3">
      <c r="A764" t="s">
        <v>386</v>
      </c>
      <c r="B764" t="s">
        <v>1386</v>
      </c>
      <c r="C764" t="s">
        <v>2386</v>
      </c>
      <c r="D764" t="s">
        <v>3386</v>
      </c>
      <c r="E764" t="s">
        <v>4386</v>
      </c>
      <c r="F764">
        <v>66</v>
      </c>
      <c r="G764" t="s">
        <v>5016</v>
      </c>
      <c r="H764" t="s">
        <v>5020</v>
      </c>
      <c r="I764" t="s">
        <v>5027</v>
      </c>
      <c r="J764">
        <v>121217</v>
      </c>
      <c r="K764">
        <v>78</v>
      </c>
      <c r="L764" s="7">
        <v>45101</v>
      </c>
      <c r="M764" t="s">
        <v>5030</v>
      </c>
      <c r="N764">
        <v>4</v>
      </c>
      <c r="O764">
        <v>2257</v>
      </c>
    </row>
    <row r="765" spans="1:15" x14ac:dyDescent="0.3">
      <c r="A765" t="s">
        <v>77</v>
      </c>
      <c r="B765" t="s">
        <v>1077</v>
      </c>
      <c r="C765" t="s">
        <v>2077</v>
      </c>
      <c r="D765" t="s">
        <v>3077</v>
      </c>
      <c r="E765" t="s">
        <v>4077</v>
      </c>
      <c r="F765">
        <v>61</v>
      </c>
      <c r="G765" t="s">
        <v>5016</v>
      </c>
      <c r="H765" t="s">
        <v>5019</v>
      </c>
      <c r="I765" t="s">
        <v>5027</v>
      </c>
      <c r="J765">
        <v>121256</v>
      </c>
      <c r="K765">
        <v>82</v>
      </c>
      <c r="L765" s="7">
        <v>44974</v>
      </c>
      <c r="M765" t="s">
        <v>5030</v>
      </c>
      <c r="N765">
        <v>8</v>
      </c>
      <c r="O765">
        <v>1665</v>
      </c>
    </row>
    <row r="766" spans="1:15" x14ac:dyDescent="0.3">
      <c r="A766" t="s">
        <v>403</v>
      </c>
      <c r="B766" t="s">
        <v>1403</v>
      </c>
      <c r="C766" t="s">
        <v>2403</v>
      </c>
      <c r="D766" t="s">
        <v>3403</v>
      </c>
      <c r="E766" t="s">
        <v>4403</v>
      </c>
      <c r="F766">
        <v>59</v>
      </c>
      <c r="G766" t="s">
        <v>5015</v>
      </c>
      <c r="H766" t="s">
        <v>5018</v>
      </c>
      <c r="I766" t="s">
        <v>5027</v>
      </c>
      <c r="J766">
        <v>121553</v>
      </c>
      <c r="K766">
        <v>67</v>
      </c>
      <c r="L766" s="7">
        <v>45021</v>
      </c>
      <c r="M766" t="s">
        <v>5028</v>
      </c>
      <c r="N766">
        <v>5</v>
      </c>
      <c r="O766">
        <v>1699</v>
      </c>
    </row>
    <row r="767" spans="1:15" x14ac:dyDescent="0.3">
      <c r="A767" t="s">
        <v>224</v>
      </c>
      <c r="B767" t="s">
        <v>1224</v>
      </c>
      <c r="C767" t="s">
        <v>2224</v>
      </c>
      <c r="D767" t="s">
        <v>3224</v>
      </c>
      <c r="E767" t="s">
        <v>4224</v>
      </c>
      <c r="F767">
        <v>70</v>
      </c>
      <c r="G767" t="s">
        <v>5017</v>
      </c>
      <c r="H767" t="s">
        <v>5021</v>
      </c>
      <c r="I767" t="s">
        <v>5025</v>
      </c>
      <c r="J767">
        <v>121701</v>
      </c>
      <c r="K767">
        <v>14</v>
      </c>
      <c r="L767" s="7">
        <v>44928</v>
      </c>
      <c r="M767" t="s">
        <v>5029</v>
      </c>
      <c r="N767">
        <v>3</v>
      </c>
      <c r="O767">
        <v>1205</v>
      </c>
    </row>
    <row r="768" spans="1:15" x14ac:dyDescent="0.3">
      <c r="A768" t="s">
        <v>558</v>
      </c>
      <c r="B768" t="s">
        <v>1558</v>
      </c>
      <c r="C768" t="s">
        <v>2558</v>
      </c>
      <c r="D768" t="s">
        <v>3558</v>
      </c>
      <c r="E768" t="s">
        <v>4558</v>
      </c>
      <c r="F768">
        <v>28</v>
      </c>
      <c r="G768" t="s">
        <v>5017</v>
      </c>
      <c r="H768" t="s">
        <v>5020</v>
      </c>
      <c r="I768" t="s">
        <v>5026</v>
      </c>
      <c r="J768">
        <v>121733</v>
      </c>
      <c r="K768">
        <v>23</v>
      </c>
      <c r="L768" s="7">
        <v>45259</v>
      </c>
      <c r="M768" t="s">
        <v>5029</v>
      </c>
      <c r="N768">
        <v>2</v>
      </c>
      <c r="O768">
        <v>1426</v>
      </c>
    </row>
    <row r="769" spans="1:15" x14ac:dyDescent="0.3">
      <c r="A769" t="s">
        <v>52</v>
      </c>
      <c r="B769" t="s">
        <v>1052</v>
      </c>
      <c r="C769" t="s">
        <v>2052</v>
      </c>
      <c r="D769" t="s">
        <v>3052</v>
      </c>
      <c r="E769" t="s">
        <v>4052</v>
      </c>
      <c r="F769">
        <v>57</v>
      </c>
      <c r="G769" t="s">
        <v>5015</v>
      </c>
      <c r="H769" t="s">
        <v>5019</v>
      </c>
      <c r="I769" t="s">
        <v>5024</v>
      </c>
      <c r="J769">
        <v>121809</v>
      </c>
      <c r="K769">
        <v>16</v>
      </c>
      <c r="L769" s="7">
        <v>44964</v>
      </c>
      <c r="M769" t="s">
        <v>5028</v>
      </c>
      <c r="N769">
        <v>6</v>
      </c>
      <c r="O769">
        <v>7400</v>
      </c>
    </row>
    <row r="770" spans="1:15" x14ac:dyDescent="0.3">
      <c r="A770" t="s">
        <v>351</v>
      </c>
      <c r="B770" t="s">
        <v>1351</v>
      </c>
      <c r="C770" t="s">
        <v>2351</v>
      </c>
      <c r="D770" t="s">
        <v>3351</v>
      </c>
      <c r="E770" t="s">
        <v>4351</v>
      </c>
      <c r="F770">
        <v>40</v>
      </c>
      <c r="G770" t="s">
        <v>5016</v>
      </c>
      <c r="H770" t="s">
        <v>5022</v>
      </c>
      <c r="I770" t="s">
        <v>5027</v>
      </c>
      <c r="J770">
        <v>121941</v>
      </c>
      <c r="K770">
        <v>68</v>
      </c>
      <c r="L770" s="7">
        <v>44996</v>
      </c>
      <c r="M770" t="s">
        <v>5028</v>
      </c>
      <c r="N770">
        <v>3</v>
      </c>
      <c r="O770">
        <v>7191</v>
      </c>
    </row>
    <row r="771" spans="1:15" x14ac:dyDescent="0.3">
      <c r="A771" t="s">
        <v>488</v>
      </c>
      <c r="B771" t="s">
        <v>1488</v>
      </c>
      <c r="C771" t="s">
        <v>2488</v>
      </c>
      <c r="D771" t="s">
        <v>3488</v>
      </c>
      <c r="E771" t="s">
        <v>4488</v>
      </c>
      <c r="F771">
        <v>69</v>
      </c>
      <c r="G771" t="s">
        <v>5015</v>
      </c>
      <c r="H771" t="s">
        <v>5020</v>
      </c>
      <c r="I771" t="s">
        <v>5025</v>
      </c>
      <c r="J771">
        <v>122002</v>
      </c>
      <c r="K771">
        <v>61</v>
      </c>
      <c r="L771" s="7">
        <v>45274</v>
      </c>
      <c r="M771" t="s">
        <v>5028</v>
      </c>
      <c r="N771">
        <v>10</v>
      </c>
      <c r="O771">
        <v>3961</v>
      </c>
    </row>
    <row r="772" spans="1:15" x14ac:dyDescent="0.3">
      <c r="A772" t="s">
        <v>788</v>
      </c>
      <c r="B772" t="s">
        <v>1788</v>
      </c>
      <c r="C772" t="s">
        <v>2788</v>
      </c>
      <c r="D772" t="s">
        <v>3788</v>
      </c>
      <c r="E772" t="s">
        <v>4788</v>
      </c>
      <c r="F772">
        <v>28</v>
      </c>
      <c r="G772" t="s">
        <v>5017</v>
      </c>
      <c r="H772" t="s">
        <v>5018</v>
      </c>
      <c r="I772" t="s">
        <v>5024</v>
      </c>
      <c r="J772">
        <v>122200</v>
      </c>
      <c r="K772">
        <v>23</v>
      </c>
      <c r="L772" s="7">
        <v>45191</v>
      </c>
      <c r="M772" t="s">
        <v>5030</v>
      </c>
      <c r="N772">
        <v>6</v>
      </c>
      <c r="O772">
        <v>1694</v>
      </c>
    </row>
    <row r="773" spans="1:15" x14ac:dyDescent="0.3">
      <c r="A773" t="s">
        <v>383</v>
      </c>
      <c r="B773" t="s">
        <v>1383</v>
      </c>
      <c r="C773" t="s">
        <v>2383</v>
      </c>
      <c r="D773" t="s">
        <v>3383</v>
      </c>
      <c r="E773" t="s">
        <v>4383</v>
      </c>
      <c r="F773">
        <v>65</v>
      </c>
      <c r="G773" t="s">
        <v>5015</v>
      </c>
      <c r="H773" t="s">
        <v>5021</v>
      </c>
      <c r="I773" t="s">
        <v>5026</v>
      </c>
      <c r="J773">
        <v>122235</v>
      </c>
      <c r="K773">
        <v>49</v>
      </c>
      <c r="L773" s="7">
        <v>45006</v>
      </c>
      <c r="M773" t="s">
        <v>5028</v>
      </c>
      <c r="N773">
        <v>5</v>
      </c>
      <c r="O773">
        <v>4408</v>
      </c>
    </row>
    <row r="774" spans="1:15" x14ac:dyDescent="0.3">
      <c r="A774" t="s">
        <v>993</v>
      </c>
      <c r="B774" t="s">
        <v>1993</v>
      </c>
      <c r="C774" t="s">
        <v>2993</v>
      </c>
      <c r="D774" t="s">
        <v>3993</v>
      </c>
      <c r="E774" t="s">
        <v>4993</v>
      </c>
      <c r="F774">
        <v>27</v>
      </c>
      <c r="G774" t="s">
        <v>5016</v>
      </c>
      <c r="H774" t="s">
        <v>5020</v>
      </c>
      <c r="I774" t="s">
        <v>5025</v>
      </c>
      <c r="J774">
        <v>122236</v>
      </c>
      <c r="K774">
        <v>48</v>
      </c>
      <c r="L774" s="7">
        <v>45271</v>
      </c>
      <c r="M774" t="s">
        <v>5029</v>
      </c>
      <c r="N774">
        <v>9</v>
      </c>
      <c r="O774">
        <v>6181</v>
      </c>
    </row>
    <row r="775" spans="1:15" x14ac:dyDescent="0.3">
      <c r="A775" t="s">
        <v>318</v>
      </c>
      <c r="B775" t="s">
        <v>1318</v>
      </c>
      <c r="C775" t="s">
        <v>2318</v>
      </c>
      <c r="D775" t="s">
        <v>3318</v>
      </c>
      <c r="E775" t="s">
        <v>4318</v>
      </c>
      <c r="F775">
        <v>69</v>
      </c>
      <c r="G775" t="s">
        <v>5017</v>
      </c>
      <c r="H775" t="s">
        <v>5021</v>
      </c>
      <c r="I775" t="s">
        <v>5025</v>
      </c>
      <c r="J775">
        <v>122299</v>
      </c>
      <c r="K775">
        <v>24</v>
      </c>
      <c r="L775" s="7">
        <v>45186</v>
      </c>
      <c r="M775" t="s">
        <v>5028</v>
      </c>
      <c r="N775">
        <v>4</v>
      </c>
      <c r="O775">
        <v>8937</v>
      </c>
    </row>
    <row r="776" spans="1:15" x14ac:dyDescent="0.3">
      <c r="A776" t="s">
        <v>551</v>
      </c>
      <c r="B776" t="s">
        <v>1551</v>
      </c>
      <c r="C776" t="s">
        <v>2551</v>
      </c>
      <c r="D776" t="s">
        <v>3551</v>
      </c>
      <c r="E776" t="s">
        <v>4551</v>
      </c>
      <c r="F776">
        <v>51</v>
      </c>
      <c r="G776" t="s">
        <v>5015</v>
      </c>
      <c r="H776" t="s">
        <v>5019</v>
      </c>
      <c r="I776" t="s">
        <v>5024</v>
      </c>
      <c r="J776">
        <v>122346</v>
      </c>
      <c r="K776">
        <v>27</v>
      </c>
      <c r="L776" s="7">
        <v>45053</v>
      </c>
      <c r="M776" t="s">
        <v>5029</v>
      </c>
      <c r="N776">
        <v>2</v>
      </c>
      <c r="O776">
        <v>5793</v>
      </c>
    </row>
    <row r="777" spans="1:15" x14ac:dyDescent="0.3">
      <c r="A777" t="s">
        <v>45</v>
      </c>
      <c r="B777" t="s">
        <v>1045</v>
      </c>
      <c r="C777" t="s">
        <v>2045</v>
      </c>
      <c r="D777" t="s">
        <v>3045</v>
      </c>
      <c r="E777" t="s">
        <v>4045</v>
      </c>
      <c r="F777">
        <v>57</v>
      </c>
      <c r="G777" t="s">
        <v>5016</v>
      </c>
      <c r="H777" t="s">
        <v>5021</v>
      </c>
      <c r="I777" t="s">
        <v>5023</v>
      </c>
      <c r="J777">
        <v>122407</v>
      </c>
      <c r="K777">
        <v>39</v>
      </c>
      <c r="L777" s="7">
        <v>44955</v>
      </c>
      <c r="M777" t="s">
        <v>5029</v>
      </c>
      <c r="N777">
        <v>3</v>
      </c>
      <c r="O777">
        <v>245</v>
      </c>
    </row>
    <row r="778" spans="1:15" x14ac:dyDescent="0.3">
      <c r="A778" t="s">
        <v>1008</v>
      </c>
      <c r="B778" t="s">
        <v>2008</v>
      </c>
      <c r="C778" t="s">
        <v>3008</v>
      </c>
      <c r="D778" t="s">
        <v>4008</v>
      </c>
      <c r="E778" t="s">
        <v>5008</v>
      </c>
      <c r="F778">
        <v>47</v>
      </c>
      <c r="G778" t="s">
        <v>5016</v>
      </c>
      <c r="H778" t="s">
        <v>5019</v>
      </c>
      <c r="I778" t="s">
        <v>5027</v>
      </c>
      <c r="J778">
        <v>122531</v>
      </c>
      <c r="K778">
        <v>16</v>
      </c>
      <c r="L778" s="7">
        <v>45007</v>
      </c>
      <c r="M778" t="s">
        <v>5030</v>
      </c>
      <c r="N778">
        <v>4</v>
      </c>
      <c r="O778">
        <v>8288</v>
      </c>
    </row>
    <row r="779" spans="1:15" x14ac:dyDescent="0.3">
      <c r="A779" t="s">
        <v>157</v>
      </c>
      <c r="B779" t="s">
        <v>1157</v>
      </c>
      <c r="C779" t="s">
        <v>2157</v>
      </c>
      <c r="D779" t="s">
        <v>3157</v>
      </c>
      <c r="E779" t="s">
        <v>4157</v>
      </c>
      <c r="F779">
        <v>28</v>
      </c>
      <c r="G779" t="s">
        <v>5016</v>
      </c>
      <c r="H779" t="s">
        <v>5019</v>
      </c>
      <c r="I779" t="s">
        <v>5024</v>
      </c>
      <c r="J779">
        <v>122556</v>
      </c>
      <c r="K779">
        <v>24</v>
      </c>
      <c r="L779" s="7">
        <v>44975</v>
      </c>
      <c r="M779" t="s">
        <v>5030</v>
      </c>
      <c r="N779">
        <v>9</v>
      </c>
      <c r="O779">
        <v>8483</v>
      </c>
    </row>
    <row r="780" spans="1:15" x14ac:dyDescent="0.3">
      <c r="A780" t="s">
        <v>725</v>
      </c>
      <c r="B780" t="s">
        <v>1725</v>
      </c>
      <c r="C780" t="s">
        <v>2725</v>
      </c>
      <c r="D780" t="s">
        <v>3725</v>
      </c>
      <c r="E780" t="s">
        <v>4725</v>
      </c>
      <c r="F780">
        <v>18</v>
      </c>
      <c r="G780" t="s">
        <v>5015</v>
      </c>
      <c r="H780" t="s">
        <v>5019</v>
      </c>
      <c r="I780" t="s">
        <v>5024</v>
      </c>
      <c r="J780">
        <v>122601</v>
      </c>
      <c r="K780">
        <v>26</v>
      </c>
      <c r="L780" s="7">
        <v>45197</v>
      </c>
      <c r="M780" t="s">
        <v>5030</v>
      </c>
      <c r="N780">
        <v>5</v>
      </c>
      <c r="O780">
        <v>1324</v>
      </c>
    </row>
    <row r="781" spans="1:15" x14ac:dyDescent="0.3">
      <c r="A781" t="s">
        <v>826</v>
      </c>
      <c r="B781" t="s">
        <v>1826</v>
      </c>
      <c r="C781" t="s">
        <v>2826</v>
      </c>
      <c r="D781" t="s">
        <v>3826</v>
      </c>
      <c r="E781" t="s">
        <v>4826</v>
      </c>
      <c r="F781">
        <v>18</v>
      </c>
      <c r="G781" t="s">
        <v>5016</v>
      </c>
      <c r="H781" t="s">
        <v>5020</v>
      </c>
      <c r="I781" t="s">
        <v>5026</v>
      </c>
      <c r="J781">
        <v>122735</v>
      </c>
      <c r="K781">
        <v>63</v>
      </c>
      <c r="L781" s="7">
        <v>45059</v>
      </c>
      <c r="M781" t="s">
        <v>5030</v>
      </c>
      <c r="N781">
        <v>6</v>
      </c>
      <c r="O781">
        <v>7008</v>
      </c>
    </row>
    <row r="782" spans="1:15" x14ac:dyDescent="0.3">
      <c r="A782" t="s">
        <v>539</v>
      </c>
      <c r="B782" t="s">
        <v>1539</v>
      </c>
      <c r="C782" t="s">
        <v>2539</v>
      </c>
      <c r="D782" t="s">
        <v>3539</v>
      </c>
      <c r="E782" t="s">
        <v>4539</v>
      </c>
      <c r="F782">
        <v>38</v>
      </c>
      <c r="G782" t="s">
        <v>5016</v>
      </c>
      <c r="H782" t="s">
        <v>5020</v>
      </c>
      <c r="I782" t="s">
        <v>5025</v>
      </c>
      <c r="J782">
        <v>122810</v>
      </c>
      <c r="K782">
        <v>90</v>
      </c>
      <c r="L782" s="7">
        <v>45121</v>
      </c>
      <c r="M782" t="s">
        <v>5029</v>
      </c>
      <c r="N782">
        <v>8</v>
      </c>
      <c r="O782">
        <v>7874</v>
      </c>
    </row>
    <row r="783" spans="1:15" x14ac:dyDescent="0.3">
      <c r="A783" t="s">
        <v>255</v>
      </c>
      <c r="B783" t="s">
        <v>1255</v>
      </c>
      <c r="C783" t="s">
        <v>2255</v>
      </c>
      <c r="D783" t="s">
        <v>3255</v>
      </c>
      <c r="E783" t="s">
        <v>4255</v>
      </c>
      <c r="F783">
        <v>60</v>
      </c>
      <c r="G783" t="s">
        <v>5015</v>
      </c>
      <c r="H783" t="s">
        <v>5022</v>
      </c>
      <c r="I783" t="s">
        <v>5025</v>
      </c>
      <c r="J783">
        <v>123036</v>
      </c>
      <c r="K783">
        <v>99</v>
      </c>
      <c r="L783" s="7">
        <v>45083</v>
      </c>
      <c r="M783" t="s">
        <v>5028</v>
      </c>
      <c r="N783">
        <v>9</v>
      </c>
      <c r="O783">
        <v>5439</v>
      </c>
    </row>
    <row r="784" spans="1:15" x14ac:dyDescent="0.3">
      <c r="A784" t="s">
        <v>807</v>
      </c>
      <c r="B784" t="s">
        <v>1807</v>
      </c>
      <c r="C784" t="s">
        <v>2807</v>
      </c>
      <c r="D784" t="s">
        <v>3807</v>
      </c>
      <c r="E784" t="s">
        <v>4807</v>
      </c>
      <c r="F784">
        <v>42</v>
      </c>
      <c r="G784" t="s">
        <v>5015</v>
      </c>
      <c r="H784" t="s">
        <v>5019</v>
      </c>
      <c r="I784" t="s">
        <v>5023</v>
      </c>
      <c r="J784">
        <v>123079</v>
      </c>
      <c r="K784">
        <v>44</v>
      </c>
      <c r="L784" s="7">
        <v>45127</v>
      </c>
      <c r="M784" t="s">
        <v>5030</v>
      </c>
      <c r="N784">
        <v>8</v>
      </c>
      <c r="O784">
        <v>2206</v>
      </c>
    </row>
    <row r="785" spans="1:15" x14ac:dyDescent="0.3">
      <c r="A785" t="s">
        <v>300</v>
      </c>
      <c r="B785" t="s">
        <v>1300</v>
      </c>
      <c r="C785" t="s">
        <v>2300</v>
      </c>
      <c r="D785" t="s">
        <v>3300</v>
      </c>
      <c r="E785" t="s">
        <v>4300</v>
      </c>
      <c r="F785">
        <v>44</v>
      </c>
      <c r="G785" t="s">
        <v>5017</v>
      </c>
      <c r="H785" t="s">
        <v>5018</v>
      </c>
      <c r="I785" t="s">
        <v>5023</v>
      </c>
      <c r="J785">
        <v>123172</v>
      </c>
      <c r="K785">
        <v>82</v>
      </c>
      <c r="L785" s="7">
        <v>45255</v>
      </c>
      <c r="M785" t="s">
        <v>5028</v>
      </c>
      <c r="N785">
        <v>1</v>
      </c>
      <c r="O785">
        <v>4045</v>
      </c>
    </row>
    <row r="786" spans="1:15" x14ac:dyDescent="0.3">
      <c r="A786" t="s">
        <v>563</v>
      </c>
      <c r="B786" t="s">
        <v>1563</v>
      </c>
      <c r="C786" t="s">
        <v>2563</v>
      </c>
      <c r="D786" t="s">
        <v>3563</v>
      </c>
      <c r="E786" t="s">
        <v>4563</v>
      </c>
      <c r="F786">
        <v>29</v>
      </c>
      <c r="G786" t="s">
        <v>5015</v>
      </c>
      <c r="H786" t="s">
        <v>5021</v>
      </c>
      <c r="I786" t="s">
        <v>5025</v>
      </c>
      <c r="J786">
        <v>123395</v>
      </c>
      <c r="K786">
        <v>37</v>
      </c>
      <c r="L786" s="7">
        <v>45237</v>
      </c>
      <c r="M786" t="s">
        <v>5029</v>
      </c>
      <c r="N786">
        <v>1</v>
      </c>
      <c r="O786">
        <v>6648</v>
      </c>
    </row>
    <row r="787" spans="1:15" x14ac:dyDescent="0.3">
      <c r="A787" t="s">
        <v>453</v>
      </c>
      <c r="B787" t="s">
        <v>1453</v>
      </c>
      <c r="C787" t="s">
        <v>2453</v>
      </c>
      <c r="D787" t="s">
        <v>3453</v>
      </c>
      <c r="E787" t="s">
        <v>4453</v>
      </c>
      <c r="F787">
        <v>51</v>
      </c>
      <c r="G787" t="s">
        <v>5016</v>
      </c>
      <c r="H787" t="s">
        <v>5021</v>
      </c>
      <c r="I787" t="s">
        <v>5027</v>
      </c>
      <c r="J787">
        <v>123672</v>
      </c>
      <c r="K787">
        <v>81</v>
      </c>
      <c r="L787" s="7">
        <v>45173</v>
      </c>
      <c r="M787" t="s">
        <v>5029</v>
      </c>
      <c r="N787">
        <v>5</v>
      </c>
      <c r="O787">
        <v>6681</v>
      </c>
    </row>
    <row r="788" spans="1:15" x14ac:dyDescent="0.3">
      <c r="A788" t="s">
        <v>175</v>
      </c>
      <c r="B788" t="s">
        <v>1175</v>
      </c>
      <c r="C788" t="s">
        <v>2175</v>
      </c>
      <c r="D788" t="s">
        <v>3175</v>
      </c>
      <c r="E788" t="s">
        <v>4175</v>
      </c>
      <c r="F788">
        <v>46</v>
      </c>
      <c r="G788" t="s">
        <v>5017</v>
      </c>
      <c r="H788" t="s">
        <v>5021</v>
      </c>
      <c r="I788" t="s">
        <v>5027</v>
      </c>
      <c r="J788">
        <v>123677</v>
      </c>
      <c r="K788">
        <v>34</v>
      </c>
      <c r="L788" s="7">
        <v>45129</v>
      </c>
      <c r="M788" t="s">
        <v>5029</v>
      </c>
      <c r="N788">
        <v>2</v>
      </c>
      <c r="O788">
        <v>1298</v>
      </c>
    </row>
    <row r="789" spans="1:15" x14ac:dyDescent="0.3">
      <c r="A789" t="s">
        <v>836</v>
      </c>
      <c r="B789" t="s">
        <v>1836</v>
      </c>
      <c r="C789" t="s">
        <v>2836</v>
      </c>
      <c r="D789" t="s">
        <v>3836</v>
      </c>
      <c r="E789" t="s">
        <v>4836</v>
      </c>
      <c r="F789">
        <v>54</v>
      </c>
      <c r="G789" t="s">
        <v>5017</v>
      </c>
      <c r="H789" t="s">
        <v>5022</v>
      </c>
      <c r="I789" t="s">
        <v>5026</v>
      </c>
      <c r="J789">
        <v>123693</v>
      </c>
      <c r="K789">
        <v>21</v>
      </c>
      <c r="L789" s="7">
        <v>45194</v>
      </c>
      <c r="M789" t="s">
        <v>5030</v>
      </c>
      <c r="N789">
        <v>1</v>
      </c>
      <c r="O789">
        <v>309</v>
      </c>
    </row>
    <row r="790" spans="1:15" x14ac:dyDescent="0.3">
      <c r="A790" t="s">
        <v>698</v>
      </c>
      <c r="B790" t="s">
        <v>1698</v>
      </c>
      <c r="C790" t="s">
        <v>2698</v>
      </c>
      <c r="D790" t="s">
        <v>3698</v>
      </c>
      <c r="E790" t="s">
        <v>4698</v>
      </c>
      <c r="F790">
        <v>64</v>
      </c>
      <c r="G790" t="s">
        <v>5016</v>
      </c>
      <c r="H790" t="s">
        <v>5019</v>
      </c>
      <c r="I790" t="s">
        <v>5026</v>
      </c>
      <c r="J790">
        <v>123998</v>
      </c>
      <c r="K790">
        <v>37</v>
      </c>
      <c r="L790" s="7">
        <v>45125</v>
      </c>
      <c r="M790" t="s">
        <v>5029</v>
      </c>
      <c r="N790">
        <v>2</v>
      </c>
      <c r="O790">
        <v>5881</v>
      </c>
    </row>
    <row r="791" spans="1:15" x14ac:dyDescent="0.3">
      <c r="A791" t="s">
        <v>723</v>
      </c>
      <c r="B791" t="s">
        <v>1723</v>
      </c>
      <c r="C791" t="s">
        <v>2723</v>
      </c>
      <c r="D791" t="s">
        <v>3723</v>
      </c>
      <c r="E791" t="s">
        <v>4723</v>
      </c>
      <c r="F791">
        <v>54</v>
      </c>
      <c r="G791" t="s">
        <v>5017</v>
      </c>
      <c r="H791" t="s">
        <v>5021</v>
      </c>
      <c r="I791" t="s">
        <v>5024</v>
      </c>
      <c r="J791">
        <v>124042</v>
      </c>
      <c r="K791">
        <v>30</v>
      </c>
      <c r="L791" s="7">
        <v>45266</v>
      </c>
      <c r="M791" t="s">
        <v>5028</v>
      </c>
      <c r="N791">
        <v>1</v>
      </c>
      <c r="O791">
        <v>8836</v>
      </c>
    </row>
    <row r="792" spans="1:15" x14ac:dyDescent="0.3">
      <c r="A792" t="s">
        <v>676</v>
      </c>
      <c r="B792" t="s">
        <v>1676</v>
      </c>
      <c r="C792" t="s">
        <v>2676</v>
      </c>
      <c r="D792" t="s">
        <v>3676</v>
      </c>
      <c r="E792" t="s">
        <v>4676</v>
      </c>
      <c r="F792">
        <v>28</v>
      </c>
      <c r="G792" t="s">
        <v>5016</v>
      </c>
      <c r="H792" t="s">
        <v>5021</v>
      </c>
      <c r="I792" t="s">
        <v>5026</v>
      </c>
      <c r="J792">
        <v>124129</v>
      </c>
      <c r="K792">
        <v>80</v>
      </c>
      <c r="L792" s="7">
        <v>45277</v>
      </c>
      <c r="M792" t="s">
        <v>5030</v>
      </c>
      <c r="N792">
        <v>7</v>
      </c>
      <c r="O792">
        <v>1061</v>
      </c>
    </row>
    <row r="793" spans="1:15" x14ac:dyDescent="0.3">
      <c r="A793" t="s">
        <v>620</v>
      </c>
      <c r="B793" t="s">
        <v>1620</v>
      </c>
      <c r="C793" t="s">
        <v>2620</v>
      </c>
      <c r="D793" t="s">
        <v>3620</v>
      </c>
      <c r="E793" t="s">
        <v>4620</v>
      </c>
      <c r="F793">
        <v>69</v>
      </c>
      <c r="G793" t="s">
        <v>5016</v>
      </c>
      <c r="H793" t="s">
        <v>5020</v>
      </c>
      <c r="I793" t="s">
        <v>5025</v>
      </c>
      <c r="J793">
        <v>124233</v>
      </c>
      <c r="K793">
        <v>79</v>
      </c>
      <c r="L793" s="7">
        <v>45024</v>
      </c>
      <c r="M793" t="s">
        <v>5028</v>
      </c>
      <c r="N793">
        <v>6</v>
      </c>
      <c r="O793">
        <v>2335</v>
      </c>
    </row>
    <row r="794" spans="1:15" x14ac:dyDescent="0.3">
      <c r="A794" t="s">
        <v>250</v>
      </c>
      <c r="B794" t="s">
        <v>1250</v>
      </c>
      <c r="C794" t="s">
        <v>2250</v>
      </c>
      <c r="D794" t="s">
        <v>3250</v>
      </c>
      <c r="E794" t="s">
        <v>4250</v>
      </c>
      <c r="F794">
        <v>55</v>
      </c>
      <c r="G794" t="s">
        <v>5017</v>
      </c>
      <c r="H794" t="s">
        <v>5019</v>
      </c>
      <c r="I794" t="s">
        <v>5024</v>
      </c>
      <c r="J794">
        <v>124548</v>
      </c>
      <c r="K794">
        <v>52</v>
      </c>
      <c r="L794" s="7">
        <v>45219</v>
      </c>
      <c r="M794" t="s">
        <v>5028</v>
      </c>
      <c r="N794">
        <v>5</v>
      </c>
      <c r="O794">
        <v>1199</v>
      </c>
    </row>
    <row r="795" spans="1:15" x14ac:dyDescent="0.3">
      <c r="A795" t="s">
        <v>269</v>
      </c>
      <c r="B795" t="s">
        <v>1269</v>
      </c>
      <c r="C795" t="s">
        <v>2269</v>
      </c>
      <c r="D795" t="s">
        <v>3269</v>
      </c>
      <c r="E795" t="s">
        <v>4269</v>
      </c>
      <c r="F795">
        <v>46</v>
      </c>
      <c r="G795" t="s">
        <v>5017</v>
      </c>
      <c r="H795" t="s">
        <v>5019</v>
      </c>
      <c r="I795" t="s">
        <v>5026</v>
      </c>
      <c r="J795">
        <v>124692</v>
      </c>
      <c r="K795">
        <v>60</v>
      </c>
      <c r="L795" s="7">
        <v>45202</v>
      </c>
      <c r="M795" t="s">
        <v>5028</v>
      </c>
      <c r="N795">
        <v>5</v>
      </c>
      <c r="O795">
        <v>1653</v>
      </c>
    </row>
    <row r="796" spans="1:15" x14ac:dyDescent="0.3">
      <c r="A796" t="s">
        <v>885</v>
      </c>
      <c r="B796" t="s">
        <v>1885</v>
      </c>
      <c r="C796" t="s">
        <v>2885</v>
      </c>
      <c r="D796" t="s">
        <v>3885</v>
      </c>
      <c r="E796" t="s">
        <v>4885</v>
      </c>
      <c r="F796">
        <v>35</v>
      </c>
      <c r="G796" t="s">
        <v>5017</v>
      </c>
      <c r="H796" t="s">
        <v>5022</v>
      </c>
      <c r="I796" t="s">
        <v>5027</v>
      </c>
      <c r="J796">
        <v>124763</v>
      </c>
      <c r="K796">
        <v>94</v>
      </c>
      <c r="L796" s="7">
        <v>45025</v>
      </c>
      <c r="M796" t="s">
        <v>5030</v>
      </c>
      <c r="N796">
        <v>4</v>
      </c>
      <c r="O796">
        <v>6616</v>
      </c>
    </row>
    <row r="797" spans="1:15" x14ac:dyDescent="0.3">
      <c r="A797" t="s">
        <v>499</v>
      </c>
      <c r="B797" t="s">
        <v>1499</v>
      </c>
      <c r="C797" t="s">
        <v>2499</v>
      </c>
      <c r="D797" t="s">
        <v>3499</v>
      </c>
      <c r="E797" t="s">
        <v>4499</v>
      </c>
      <c r="F797">
        <v>65</v>
      </c>
      <c r="G797" t="s">
        <v>5016</v>
      </c>
      <c r="H797" t="s">
        <v>5020</v>
      </c>
      <c r="I797" t="s">
        <v>5026</v>
      </c>
      <c r="J797">
        <v>124766</v>
      </c>
      <c r="K797">
        <v>42</v>
      </c>
      <c r="L797" s="7">
        <v>45153</v>
      </c>
      <c r="M797" t="s">
        <v>5030</v>
      </c>
      <c r="N797">
        <v>8</v>
      </c>
      <c r="O797">
        <v>4736</v>
      </c>
    </row>
    <row r="798" spans="1:15" x14ac:dyDescent="0.3">
      <c r="A798" t="s">
        <v>212</v>
      </c>
      <c r="B798" t="s">
        <v>1212</v>
      </c>
      <c r="C798" t="s">
        <v>2212</v>
      </c>
      <c r="D798" t="s">
        <v>3212</v>
      </c>
      <c r="E798" t="s">
        <v>4212</v>
      </c>
      <c r="F798">
        <v>30</v>
      </c>
      <c r="G798" t="s">
        <v>5016</v>
      </c>
      <c r="H798" t="s">
        <v>5021</v>
      </c>
      <c r="I798" t="s">
        <v>5023</v>
      </c>
      <c r="J798">
        <v>124768</v>
      </c>
      <c r="K798">
        <v>83</v>
      </c>
      <c r="L798" s="7">
        <v>45005</v>
      </c>
      <c r="M798" t="s">
        <v>5030</v>
      </c>
      <c r="N798">
        <v>9</v>
      </c>
      <c r="O798">
        <v>9724</v>
      </c>
    </row>
    <row r="799" spans="1:15" x14ac:dyDescent="0.3">
      <c r="A799" t="s">
        <v>974</v>
      </c>
      <c r="B799" t="s">
        <v>1974</v>
      </c>
      <c r="C799" t="s">
        <v>2974</v>
      </c>
      <c r="D799" t="s">
        <v>3974</v>
      </c>
      <c r="E799" t="s">
        <v>4974</v>
      </c>
      <c r="F799">
        <v>67</v>
      </c>
      <c r="G799" t="s">
        <v>5016</v>
      </c>
      <c r="H799" t="s">
        <v>5020</v>
      </c>
      <c r="I799" t="s">
        <v>5023</v>
      </c>
      <c r="J799">
        <v>124832</v>
      </c>
      <c r="K799">
        <v>8</v>
      </c>
      <c r="L799" s="7">
        <v>44970</v>
      </c>
      <c r="M799" t="s">
        <v>5028</v>
      </c>
      <c r="N799">
        <v>5</v>
      </c>
      <c r="O799">
        <v>3818</v>
      </c>
    </row>
    <row r="800" spans="1:15" x14ac:dyDescent="0.3">
      <c r="A800" t="s">
        <v>760</v>
      </c>
      <c r="B800" t="s">
        <v>1760</v>
      </c>
      <c r="C800" t="s">
        <v>2760</v>
      </c>
      <c r="D800" t="s">
        <v>3760</v>
      </c>
      <c r="E800" t="s">
        <v>4760</v>
      </c>
      <c r="F800">
        <v>20</v>
      </c>
      <c r="G800" t="s">
        <v>5017</v>
      </c>
      <c r="H800" t="s">
        <v>5020</v>
      </c>
      <c r="I800" t="s">
        <v>5027</v>
      </c>
      <c r="J800">
        <v>124963</v>
      </c>
      <c r="K800">
        <v>83</v>
      </c>
      <c r="L800" s="7">
        <v>45223</v>
      </c>
      <c r="M800" t="s">
        <v>5029</v>
      </c>
      <c r="N800">
        <v>10</v>
      </c>
      <c r="O800">
        <v>3900</v>
      </c>
    </row>
    <row r="801" spans="1:15" x14ac:dyDescent="0.3">
      <c r="A801" t="s">
        <v>275</v>
      </c>
      <c r="B801" t="s">
        <v>1275</v>
      </c>
      <c r="C801" t="s">
        <v>2275</v>
      </c>
      <c r="D801" t="s">
        <v>3275</v>
      </c>
      <c r="E801" t="s">
        <v>4275</v>
      </c>
      <c r="F801">
        <v>21</v>
      </c>
      <c r="G801" t="s">
        <v>5017</v>
      </c>
      <c r="H801" t="s">
        <v>5019</v>
      </c>
      <c r="I801" t="s">
        <v>5025</v>
      </c>
      <c r="J801">
        <v>124999</v>
      </c>
      <c r="K801">
        <v>66</v>
      </c>
      <c r="L801" s="7">
        <v>45262</v>
      </c>
      <c r="M801" t="s">
        <v>5028</v>
      </c>
      <c r="N801">
        <v>10</v>
      </c>
      <c r="O801">
        <v>9293</v>
      </c>
    </row>
    <row r="802" spans="1:15" x14ac:dyDescent="0.3">
      <c r="A802" t="s">
        <v>793</v>
      </c>
      <c r="B802" t="s">
        <v>1793</v>
      </c>
      <c r="C802" t="s">
        <v>2793</v>
      </c>
      <c r="D802" t="s">
        <v>3793</v>
      </c>
      <c r="E802" t="s">
        <v>4793</v>
      </c>
      <c r="F802">
        <v>45</v>
      </c>
      <c r="G802" t="s">
        <v>5017</v>
      </c>
      <c r="H802" t="s">
        <v>5019</v>
      </c>
      <c r="I802" t="s">
        <v>5023</v>
      </c>
      <c r="J802">
        <v>125111</v>
      </c>
      <c r="K802">
        <v>51</v>
      </c>
      <c r="L802" s="7">
        <v>45126</v>
      </c>
      <c r="M802" t="s">
        <v>5028</v>
      </c>
      <c r="N802">
        <v>6</v>
      </c>
      <c r="O802">
        <v>2405</v>
      </c>
    </row>
    <row r="803" spans="1:15" x14ac:dyDescent="0.3">
      <c r="A803" t="s">
        <v>435</v>
      </c>
      <c r="B803" t="s">
        <v>1435</v>
      </c>
      <c r="C803" t="s">
        <v>2435</v>
      </c>
      <c r="D803" t="s">
        <v>3435</v>
      </c>
      <c r="E803" t="s">
        <v>4435</v>
      </c>
      <c r="F803">
        <v>57</v>
      </c>
      <c r="G803" t="s">
        <v>5017</v>
      </c>
      <c r="H803" t="s">
        <v>5019</v>
      </c>
      <c r="I803" t="s">
        <v>5025</v>
      </c>
      <c r="J803">
        <v>125177</v>
      </c>
      <c r="K803">
        <v>52</v>
      </c>
      <c r="L803" s="7">
        <v>45055</v>
      </c>
      <c r="M803" t="s">
        <v>5030</v>
      </c>
      <c r="N803">
        <v>6</v>
      </c>
      <c r="O803">
        <v>358</v>
      </c>
    </row>
    <row r="804" spans="1:15" x14ac:dyDescent="0.3">
      <c r="A804" t="s">
        <v>571</v>
      </c>
      <c r="B804" t="s">
        <v>1571</v>
      </c>
      <c r="C804" t="s">
        <v>2571</v>
      </c>
      <c r="D804" t="s">
        <v>3571</v>
      </c>
      <c r="E804" t="s">
        <v>4571</v>
      </c>
      <c r="F804">
        <v>48</v>
      </c>
      <c r="G804" t="s">
        <v>5017</v>
      </c>
      <c r="H804" t="s">
        <v>5021</v>
      </c>
      <c r="I804" t="s">
        <v>5027</v>
      </c>
      <c r="J804">
        <v>125743</v>
      </c>
      <c r="K804">
        <v>15</v>
      </c>
      <c r="L804" s="7">
        <v>44941</v>
      </c>
      <c r="M804" t="s">
        <v>5030</v>
      </c>
      <c r="N804">
        <v>4</v>
      </c>
      <c r="O804">
        <v>1096</v>
      </c>
    </row>
    <row r="805" spans="1:15" x14ac:dyDescent="0.3">
      <c r="A805" t="s">
        <v>952</v>
      </c>
      <c r="B805" t="s">
        <v>1952</v>
      </c>
      <c r="C805" t="s">
        <v>2952</v>
      </c>
      <c r="D805" t="s">
        <v>3952</v>
      </c>
      <c r="E805" t="s">
        <v>4952</v>
      </c>
      <c r="F805">
        <v>49</v>
      </c>
      <c r="G805" t="s">
        <v>5016</v>
      </c>
      <c r="H805" t="s">
        <v>5019</v>
      </c>
      <c r="I805" t="s">
        <v>5026</v>
      </c>
      <c r="J805">
        <v>125885</v>
      </c>
      <c r="K805">
        <v>6</v>
      </c>
      <c r="L805" s="7">
        <v>45155</v>
      </c>
      <c r="M805" t="s">
        <v>5029</v>
      </c>
      <c r="N805">
        <v>10</v>
      </c>
      <c r="O805">
        <v>2814</v>
      </c>
    </row>
    <row r="806" spans="1:15" x14ac:dyDescent="0.3">
      <c r="A806" t="s">
        <v>989</v>
      </c>
      <c r="B806" t="s">
        <v>1989</v>
      </c>
      <c r="C806" t="s">
        <v>2989</v>
      </c>
      <c r="D806" t="s">
        <v>3989</v>
      </c>
      <c r="E806" t="s">
        <v>4989</v>
      </c>
      <c r="F806">
        <v>36</v>
      </c>
      <c r="G806" t="s">
        <v>5015</v>
      </c>
      <c r="H806" t="s">
        <v>5021</v>
      </c>
      <c r="I806" t="s">
        <v>5026</v>
      </c>
      <c r="J806">
        <v>125981</v>
      </c>
      <c r="K806">
        <v>48</v>
      </c>
      <c r="L806" s="7">
        <v>45129</v>
      </c>
      <c r="M806" t="s">
        <v>5028</v>
      </c>
      <c r="N806">
        <v>8</v>
      </c>
      <c r="O806">
        <v>7434</v>
      </c>
    </row>
    <row r="807" spans="1:15" x14ac:dyDescent="0.3">
      <c r="A807" t="s">
        <v>448</v>
      </c>
      <c r="B807" t="s">
        <v>1448</v>
      </c>
      <c r="C807" t="s">
        <v>2448</v>
      </c>
      <c r="D807" t="s">
        <v>3448</v>
      </c>
      <c r="E807" t="s">
        <v>4448</v>
      </c>
      <c r="F807">
        <v>56</v>
      </c>
      <c r="G807" t="s">
        <v>5015</v>
      </c>
      <c r="H807" t="s">
        <v>5022</v>
      </c>
      <c r="I807" t="s">
        <v>5025</v>
      </c>
      <c r="J807">
        <v>126090</v>
      </c>
      <c r="K807">
        <v>97</v>
      </c>
      <c r="L807" s="7">
        <v>44997</v>
      </c>
      <c r="M807" t="s">
        <v>5030</v>
      </c>
      <c r="N807">
        <v>5</v>
      </c>
      <c r="O807">
        <v>4986</v>
      </c>
    </row>
    <row r="808" spans="1:15" x14ac:dyDescent="0.3">
      <c r="A808" t="s">
        <v>398</v>
      </c>
      <c r="B808" t="s">
        <v>1398</v>
      </c>
      <c r="C808" t="s">
        <v>2398</v>
      </c>
      <c r="D808" t="s">
        <v>3398</v>
      </c>
      <c r="E808" t="s">
        <v>4398</v>
      </c>
      <c r="F808">
        <v>65</v>
      </c>
      <c r="G808" t="s">
        <v>5015</v>
      </c>
      <c r="H808" t="s">
        <v>5020</v>
      </c>
      <c r="I808" t="s">
        <v>5025</v>
      </c>
      <c r="J808">
        <v>126143</v>
      </c>
      <c r="K808">
        <v>12</v>
      </c>
      <c r="L808" s="7">
        <v>45143</v>
      </c>
      <c r="M808" t="s">
        <v>5029</v>
      </c>
      <c r="N808">
        <v>5</v>
      </c>
      <c r="O808">
        <v>9490</v>
      </c>
    </row>
    <row r="809" spans="1:15" x14ac:dyDescent="0.3">
      <c r="A809" t="s">
        <v>424</v>
      </c>
      <c r="B809" t="s">
        <v>1424</v>
      </c>
      <c r="C809" t="s">
        <v>2424</v>
      </c>
      <c r="D809" t="s">
        <v>3424</v>
      </c>
      <c r="E809" t="s">
        <v>4424</v>
      </c>
      <c r="F809">
        <v>56</v>
      </c>
      <c r="G809" t="s">
        <v>5015</v>
      </c>
      <c r="H809" t="s">
        <v>5022</v>
      </c>
      <c r="I809" t="s">
        <v>5023</v>
      </c>
      <c r="J809">
        <v>126152</v>
      </c>
      <c r="K809">
        <v>1</v>
      </c>
      <c r="L809" s="7">
        <v>44974</v>
      </c>
      <c r="M809" t="s">
        <v>5030</v>
      </c>
      <c r="N809">
        <v>5</v>
      </c>
      <c r="O809">
        <v>3796</v>
      </c>
    </row>
    <row r="810" spans="1:15" x14ac:dyDescent="0.3">
      <c r="A810" t="s">
        <v>336</v>
      </c>
      <c r="B810" t="s">
        <v>1336</v>
      </c>
      <c r="C810" t="s">
        <v>2336</v>
      </c>
      <c r="D810" t="s">
        <v>3336</v>
      </c>
      <c r="E810" t="s">
        <v>4336</v>
      </c>
      <c r="F810">
        <v>42</v>
      </c>
      <c r="G810" t="s">
        <v>5017</v>
      </c>
      <c r="H810" t="s">
        <v>5022</v>
      </c>
      <c r="I810" t="s">
        <v>5026</v>
      </c>
      <c r="J810">
        <v>126280</v>
      </c>
      <c r="K810">
        <v>7</v>
      </c>
      <c r="L810" s="7">
        <v>45007</v>
      </c>
      <c r="M810" t="s">
        <v>5030</v>
      </c>
      <c r="N810">
        <v>9</v>
      </c>
      <c r="O810">
        <v>8848</v>
      </c>
    </row>
    <row r="811" spans="1:15" x14ac:dyDescent="0.3">
      <c r="A811" t="s">
        <v>697</v>
      </c>
      <c r="B811" t="s">
        <v>1697</v>
      </c>
      <c r="C811" t="s">
        <v>2697</v>
      </c>
      <c r="D811" t="s">
        <v>3697</v>
      </c>
      <c r="E811" t="s">
        <v>4697</v>
      </c>
      <c r="F811">
        <v>20</v>
      </c>
      <c r="G811" t="s">
        <v>5017</v>
      </c>
      <c r="H811" t="s">
        <v>5020</v>
      </c>
      <c r="I811" t="s">
        <v>5023</v>
      </c>
      <c r="J811">
        <v>126370</v>
      </c>
      <c r="K811">
        <v>62</v>
      </c>
      <c r="L811" s="7">
        <v>45136</v>
      </c>
      <c r="M811" t="s">
        <v>5030</v>
      </c>
      <c r="N811">
        <v>5</v>
      </c>
      <c r="O811">
        <v>4300</v>
      </c>
    </row>
    <row r="812" spans="1:15" x14ac:dyDescent="0.3">
      <c r="A812" t="s">
        <v>900</v>
      </c>
      <c r="B812" t="s">
        <v>1900</v>
      </c>
      <c r="C812" t="s">
        <v>2900</v>
      </c>
      <c r="D812" t="s">
        <v>3900</v>
      </c>
      <c r="E812" t="s">
        <v>4900</v>
      </c>
      <c r="F812">
        <v>62</v>
      </c>
      <c r="G812" t="s">
        <v>5017</v>
      </c>
      <c r="H812" t="s">
        <v>5019</v>
      </c>
      <c r="I812" t="s">
        <v>5025</v>
      </c>
      <c r="J812">
        <v>126524</v>
      </c>
      <c r="K812">
        <v>37</v>
      </c>
      <c r="L812" s="7">
        <v>45218</v>
      </c>
      <c r="M812" t="s">
        <v>5028</v>
      </c>
      <c r="N812">
        <v>3</v>
      </c>
      <c r="O812">
        <v>7784</v>
      </c>
    </row>
    <row r="813" spans="1:15" x14ac:dyDescent="0.3">
      <c r="A813" t="s">
        <v>604</v>
      </c>
      <c r="B813" t="s">
        <v>1604</v>
      </c>
      <c r="C813" t="s">
        <v>2604</v>
      </c>
      <c r="D813" t="s">
        <v>3604</v>
      </c>
      <c r="E813" t="s">
        <v>4604</v>
      </c>
      <c r="F813">
        <v>42</v>
      </c>
      <c r="G813" t="s">
        <v>5016</v>
      </c>
      <c r="H813" t="s">
        <v>5022</v>
      </c>
      <c r="I813" t="s">
        <v>5026</v>
      </c>
      <c r="J813">
        <v>126618</v>
      </c>
      <c r="K813">
        <v>18</v>
      </c>
      <c r="L813" s="7">
        <v>45016</v>
      </c>
      <c r="M813" t="s">
        <v>5030</v>
      </c>
      <c r="N813">
        <v>2</v>
      </c>
      <c r="O813">
        <v>3219</v>
      </c>
    </row>
    <row r="814" spans="1:15" x14ac:dyDescent="0.3">
      <c r="A814" t="s">
        <v>468</v>
      </c>
      <c r="B814" t="s">
        <v>1468</v>
      </c>
      <c r="C814" t="s">
        <v>2468</v>
      </c>
      <c r="D814" t="s">
        <v>3468</v>
      </c>
      <c r="E814" t="s">
        <v>4468</v>
      </c>
      <c r="F814">
        <v>49</v>
      </c>
      <c r="G814" t="s">
        <v>5016</v>
      </c>
      <c r="H814" t="s">
        <v>5019</v>
      </c>
      <c r="I814" t="s">
        <v>5023</v>
      </c>
      <c r="J814">
        <v>126640</v>
      </c>
      <c r="K814">
        <v>1</v>
      </c>
      <c r="L814" s="7">
        <v>45110</v>
      </c>
      <c r="M814" t="s">
        <v>5030</v>
      </c>
      <c r="N814">
        <v>8</v>
      </c>
      <c r="O814">
        <v>618</v>
      </c>
    </row>
    <row r="815" spans="1:15" x14ac:dyDescent="0.3">
      <c r="A815" t="s">
        <v>455</v>
      </c>
      <c r="B815" t="s">
        <v>1455</v>
      </c>
      <c r="C815" t="s">
        <v>2455</v>
      </c>
      <c r="D815" t="s">
        <v>3455</v>
      </c>
      <c r="E815" t="s">
        <v>4455</v>
      </c>
      <c r="F815">
        <v>25</v>
      </c>
      <c r="G815" t="s">
        <v>5016</v>
      </c>
      <c r="H815" t="s">
        <v>5020</v>
      </c>
      <c r="I815" t="s">
        <v>5023</v>
      </c>
      <c r="J815">
        <v>126718</v>
      </c>
      <c r="K815">
        <v>19</v>
      </c>
      <c r="L815" s="7">
        <v>45209</v>
      </c>
      <c r="M815" t="s">
        <v>5030</v>
      </c>
      <c r="N815">
        <v>10</v>
      </c>
      <c r="O815">
        <v>8115</v>
      </c>
    </row>
    <row r="816" spans="1:15" x14ac:dyDescent="0.3">
      <c r="A816" t="s">
        <v>956</v>
      </c>
      <c r="B816" t="s">
        <v>1956</v>
      </c>
      <c r="C816" t="s">
        <v>2956</v>
      </c>
      <c r="D816" t="s">
        <v>3956</v>
      </c>
      <c r="E816" t="s">
        <v>4956</v>
      </c>
      <c r="F816">
        <v>50</v>
      </c>
      <c r="G816" t="s">
        <v>5017</v>
      </c>
      <c r="H816" t="s">
        <v>5022</v>
      </c>
      <c r="I816" t="s">
        <v>5025</v>
      </c>
      <c r="J816">
        <v>126749</v>
      </c>
      <c r="K816">
        <v>16</v>
      </c>
      <c r="L816" s="7">
        <v>45203</v>
      </c>
      <c r="M816" t="s">
        <v>5030</v>
      </c>
      <c r="N816">
        <v>6</v>
      </c>
      <c r="O816">
        <v>3647</v>
      </c>
    </row>
    <row r="817" spans="1:25" x14ac:dyDescent="0.3">
      <c r="A817" t="s">
        <v>606</v>
      </c>
      <c r="B817" t="s">
        <v>1606</v>
      </c>
      <c r="C817" t="s">
        <v>2606</v>
      </c>
      <c r="D817" t="s">
        <v>3606</v>
      </c>
      <c r="E817" t="s">
        <v>4606</v>
      </c>
      <c r="F817">
        <v>47</v>
      </c>
      <c r="G817" t="s">
        <v>5017</v>
      </c>
      <c r="H817" t="s">
        <v>5020</v>
      </c>
      <c r="I817" t="s">
        <v>5027</v>
      </c>
      <c r="J817">
        <v>126821</v>
      </c>
      <c r="K817">
        <v>63</v>
      </c>
      <c r="L817" s="7">
        <v>45213</v>
      </c>
      <c r="M817" t="s">
        <v>5030</v>
      </c>
      <c r="N817">
        <v>9</v>
      </c>
      <c r="O817">
        <v>2908</v>
      </c>
    </row>
    <row r="818" spans="1:25" x14ac:dyDescent="0.3">
      <c r="A818" t="s">
        <v>950</v>
      </c>
      <c r="B818" t="s">
        <v>1950</v>
      </c>
      <c r="C818" t="s">
        <v>2950</v>
      </c>
      <c r="D818" t="s">
        <v>3950</v>
      </c>
      <c r="E818" t="s">
        <v>4950</v>
      </c>
      <c r="F818">
        <v>28</v>
      </c>
      <c r="G818" t="s">
        <v>5016</v>
      </c>
      <c r="H818" t="s">
        <v>5019</v>
      </c>
      <c r="I818" t="s">
        <v>5026</v>
      </c>
      <c r="J818">
        <v>127047</v>
      </c>
      <c r="K818">
        <v>59</v>
      </c>
      <c r="L818" s="7">
        <v>45002</v>
      </c>
      <c r="M818" t="s">
        <v>5029</v>
      </c>
      <c r="N818">
        <v>7</v>
      </c>
      <c r="O818">
        <v>7854</v>
      </c>
    </row>
    <row r="819" spans="1:25" x14ac:dyDescent="0.3">
      <c r="A819" t="s">
        <v>40</v>
      </c>
      <c r="B819" t="s">
        <v>1040</v>
      </c>
      <c r="C819" t="s">
        <v>2040</v>
      </c>
      <c r="D819" t="s">
        <v>3040</v>
      </c>
      <c r="E819" t="s">
        <v>4040</v>
      </c>
      <c r="F819">
        <v>26</v>
      </c>
      <c r="G819" t="s">
        <v>5017</v>
      </c>
      <c r="H819" t="s">
        <v>5019</v>
      </c>
      <c r="I819" t="s">
        <v>5023</v>
      </c>
      <c r="J819">
        <v>127495</v>
      </c>
      <c r="K819">
        <v>16</v>
      </c>
      <c r="L819" s="7">
        <v>45171</v>
      </c>
      <c r="M819" t="s">
        <v>5028</v>
      </c>
      <c r="N819">
        <v>4</v>
      </c>
      <c r="O819">
        <v>8536</v>
      </c>
      <c r="Y819" t="s">
        <v>5043</v>
      </c>
    </row>
    <row r="820" spans="1:25" x14ac:dyDescent="0.3">
      <c r="A820" t="s">
        <v>179</v>
      </c>
      <c r="B820" t="s">
        <v>1179</v>
      </c>
      <c r="C820" t="s">
        <v>2179</v>
      </c>
      <c r="D820" t="s">
        <v>3179</v>
      </c>
      <c r="E820" t="s">
        <v>4179</v>
      </c>
      <c r="F820">
        <v>56</v>
      </c>
      <c r="G820" t="s">
        <v>5017</v>
      </c>
      <c r="H820" t="s">
        <v>5022</v>
      </c>
      <c r="I820" t="s">
        <v>5026</v>
      </c>
      <c r="J820">
        <v>127508</v>
      </c>
      <c r="K820">
        <v>55</v>
      </c>
      <c r="L820" s="7">
        <v>44989</v>
      </c>
      <c r="M820" t="s">
        <v>5030</v>
      </c>
      <c r="N820">
        <v>9</v>
      </c>
      <c r="O820">
        <v>5058</v>
      </c>
      <c r="W820" t="s">
        <v>5044</v>
      </c>
    </row>
    <row r="821" spans="1:25" x14ac:dyDescent="0.3">
      <c r="A821" t="s">
        <v>158</v>
      </c>
      <c r="B821" t="s">
        <v>1158</v>
      </c>
      <c r="C821" t="s">
        <v>2158</v>
      </c>
      <c r="D821" t="s">
        <v>3158</v>
      </c>
      <c r="E821" t="s">
        <v>4158</v>
      </c>
      <c r="F821">
        <v>22</v>
      </c>
      <c r="G821" t="s">
        <v>5015</v>
      </c>
      <c r="H821" t="s">
        <v>5019</v>
      </c>
      <c r="I821" t="s">
        <v>5026</v>
      </c>
      <c r="J821">
        <v>127559</v>
      </c>
      <c r="K821">
        <v>38</v>
      </c>
      <c r="L821" s="7">
        <v>44964</v>
      </c>
      <c r="M821" t="s">
        <v>5028</v>
      </c>
      <c r="N821">
        <v>7</v>
      </c>
      <c r="O821">
        <v>1709</v>
      </c>
    </row>
    <row r="822" spans="1:25" x14ac:dyDescent="0.3">
      <c r="A822" t="s">
        <v>129</v>
      </c>
      <c r="B822" t="s">
        <v>1129</v>
      </c>
      <c r="C822" t="s">
        <v>2129</v>
      </c>
      <c r="D822" t="s">
        <v>3129</v>
      </c>
      <c r="E822" t="s">
        <v>4129</v>
      </c>
      <c r="F822">
        <v>53</v>
      </c>
      <c r="G822" t="s">
        <v>5016</v>
      </c>
      <c r="H822" t="s">
        <v>5022</v>
      </c>
      <c r="I822" t="s">
        <v>5027</v>
      </c>
      <c r="J822">
        <v>127626</v>
      </c>
      <c r="K822">
        <v>77</v>
      </c>
      <c r="L822" s="7">
        <v>45074</v>
      </c>
      <c r="M822" t="s">
        <v>5029</v>
      </c>
      <c r="N822">
        <v>5</v>
      </c>
      <c r="O822">
        <v>5176</v>
      </c>
    </row>
    <row r="823" spans="1:25" x14ac:dyDescent="0.3">
      <c r="A823" t="s">
        <v>939</v>
      </c>
      <c r="B823" t="s">
        <v>1939</v>
      </c>
      <c r="C823" t="s">
        <v>2939</v>
      </c>
      <c r="D823" t="s">
        <v>3939</v>
      </c>
      <c r="E823" t="s">
        <v>4939</v>
      </c>
      <c r="F823">
        <v>43</v>
      </c>
      <c r="G823" t="s">
        <v>5016</v>
      </c>
      <c r="H823" t="s">
        <v>5020</v>
      </c>
      <c r="I823" t="s">
        <v>5025</v>
      </c>
      <c r="J823">
        <v>127718</v>
      </c>
      <c r="K823">
        <v>38</v>
      </c>
      <c r="L823" s="7">
        <v>45015</v>
      </c>
      <c r="M823" t="s">
        <v>5028</v>
      </c>
      <c r="N823">
        <v>8</v>
      </c>
      <c r="O823">
        <v>5490</v>
      </c>
    </row>
    <row r="824" spans="1:25" x14ac:dyDescent="0.3">
      <c r="A824" t="s">
        <v>713</v>
      </c>
      <c r="B824" t="s">
        <v>1713</v>
      </c>
      <c r="C824" t="s">
        <v>2713</v>
      </c>
      <c r="D824" t="s">
        <v>3713</v>
      </c>
      <c r="E824" t="s">
        <v>4713</v>
      </c>
      <c r="F824">
        <v>38</v>
      </c>
      <c r="G824" t="s">
        <v>5017</v>
      </c>
      <c r="H824" t="s">
        <v>5021</v>
      </c>
      <c r="I824" t="s">
        <v>5025</v>
      </c>
      <c r="J824">
        <v>127792</v>
      </c>
      <c r="K824">
        <v>36</v>
      </c>
      <c r="L824" s="7">
        <v>45207</v>
      </c>
      <c r="M824" t="s">
        <v>5030</v>
      </c>
      <c r="N824">
        <v>7</v>
      </c>
      <c r="O824">
        <v>1311</v>
      </c>
    </row>
    <row r="825" spans="1:25" x14ac:dyDescent="0.3">
      <c r="A825" t="s">
        <v>784</v>
      </c>
      <c r="B825" t="s">
        <v>1784</v>
      </c>
      <c r="C825" t="s">
        <v>2784</v>
      </c>
      <c r="D825" t="s">
        <v>3784</v>
      </c>
      <c r="E825" t="s">
        <v>4784</v>
      </c>
      <c r="F825">
        <v>55</v>
      </c>
      <c r="G825" t="s">
        <v>5016</v>
      </c>
      <c r="H825" t="s">
        <v>5022</v>
      </c>
      <c r="I825" t="s">
        <v>5025</v>
      </c>
      <c r="J825">
        <v>127970</v>
      </c>
      <c r="K825">
        <v>10</v>
      </c>
      <c r="L825" s="7">
        <v>45233</v>
      </c>
      <c r="M825" t="s">
        <v>5030</v>
      </c>
      <c r="N825">
        <v>6</v>
      </c>
      <c r="O825">
        <v>2598</v>
      </c>
    </row>
    <row r="826" spans="1:25" x14ac:dyDescent="0.3">
      <c r="A826" t="s">
        <v>204</v>
      </c>
      <c r="B826" t="s">
        <v>1204</v>
      </c>
      <c r="C826" t="s">
        <v>2204</v>
      </c>
      <c r="D826" t="s">
        <v>3204</v>
      </c>
      <c r="E826" t="s">
        <v>4204</v>
      </c>
      <c r="F826">
        <v>48</v>
      </c>
      <c r="G826" t="s">
        <v>5015</v>
      </c>
      <c r="H826" t="s">
        <v>5020</v>
      </c>
      <c r="I826" t="s">
        <v>5023</v>
      </c>
      <c r="J826">
        <v>128261</v>
      </c>
      <c r="K826">
        <v>90</v>
      </c>
      <c r="L826" s="7">
        <v>44958</v>
      </c>
      <c r="M826" t="s">
        <v>5029</v>
      </c>
      <c r="N826">
        <v>8</v>
      </c>
      <c r="O826">
        <v>542</v>
      </c>
    </row>
    <row r="827" spans="1:25" x14ac:dyDescent="0.3">
      <c r="A827" t="s">
        <v>727</v>
      </c>
      <c r="B827" t="s">
        <v>1727</v>
      </c>
      <c r="C827" t="s">
        <v>2727</v>
      </c>
      <c r="D827" t="s">
        <v>3727</v>
      </c>
      <c r="E827" t="s">
        <v>4727</v>
      </c>
      <c r="F827">
        <v>33</v>
      </c>
      <c r="G827" t="s">
        <v>5017</v>
      </c>
      <c r="H827" t="s">
        <v>5022</v>
      </c>
      <c r="I827" t="s">
        <v>5027</v>
      </c>
      <c r="J827">
        <v>128319</v>
      </c>
      <c r="K827">
        <v>85</v>
      </c>
      <c r="L827" s="7">
        <v>45066</v>
      </c>
      <c r="M827" t="s">
        <v>5030</v>
      </c>
      <c r="N827">
        <v>7</v>
      </c>
      <c r="O827">
        <v>4923</v>
      </c>
    </row>
    <row r="828" spans="1:25" x14ac:dyDescent="0.3">
      <c r="A828" t="s">
        <v>137</v>
      </c>
      <c r="B828" t="s">
        <v>1137</v>
      </c>
      <c r="C828" t="s">
        <v>2137</v>
      </c>
      <c r="D828" t="s">
        <v>3137</v>
      </c>
      <c r="E828" t="s">
        <v>4137</v>
      </c>
      <c r="F828">
        <v>36</v>
      </c>
      <c r="G828" t="s">
        <v>5015</v>
      </c>
      <c r="H828" t="s">
        <v>5020</v>
      </c>
      <c r="I828" t="s">
        <v>5023</v>
      </c>
      <c r="J828">
        <v>128325</v>
      </c>
      <c r="K828">
        <v>0</v>
      </c>
      <c r="L828" s="7">
        <v>45034</v>
      </c>
      <c r="M828" t="s">
        <v>5028</v>
      </c>
      <c r="N828">
        <v>10</v>
      </c>
      <c r="O828">
        <v>7083</v>
      </c>
    </row>
    <row r="829" spans="1:25" x14ac:dyDescent="0.3">
      <c r="A829" t="s">
        <v>37</v>
      </c>
      <c r="B829" t="s">
        <v>1037</v>
      </c>
      <c r="C829" t="s">
        <v>2037</v>
      </c>
      <c r="D829" t="s">
        <v>3037</v>
      </c>
      <c r="E829" t="s">
        <v>4037</v>
      </c>
      <c r="F829">
        <v>32</v>
      </c>
      <c r="G829" t="s">
        <v>5017</v>
      </c>
      <c r="H829" t="s">
        <v>5019</v>
      </c>
      <c r="I829" t="s">
        <v>5025</v>
      </c>
      <c r="J829">
        <v>128394</v>
      </c>
      <c r="K829">
        <v>44</v>
      </c>
      <c r="L829" s="7">
        <v>45059</v>
      </c>
      <c r="M829" t="s">
        <v>5030</v>
      </c>
      <c r="N829">
        <v>10</v>
      </c>
      <c r="O829">
        <v>9698</v>
      </c>
    </row>
    <row r="830" spans="1:25" x14ac:dyDescent="0.3">
      <c r="A830" t="s">
        <v>751</v>
      </c>
      <c r="B830" t="s">
        <v>1751</v>
      </c>
      <c r="C830" t="s">
        <v>2751</v>
      </c>
      <c r="D830" t="s">
        <v>3751</v>
      </c>
      <c r="E830" t="s">
        <v>4751</v>
      </c>
      <c r="F830">
        <v>19</v>
      </c>
      <c r="G830" t="s">
        <v>5016</v>
      </c>
      <c r="H830" t="s">
        <v>5021</v>
      </c>
      <c r="I830" t="s">
        <v>5023</v>
      </c>
      <c r="J830">
        <v>128454</v>
      </c>
      <c r="K830">
        <v>81</v>
      </c>
      <c r="L830" s="7">
        <v>45167</v>
      </c>
      <c r="M830" t="s">
        <v>5030</v>
      </c>
      <c r="N830">
        <v>9</v>
      </c>
      <c r="O830">
        <v>575</v>
      </c>
    </row>
    <row r="831" spans="1:25" x14ac:dyDescent="0.3">
      <c r="A831" t="s">
        <v>648</v>
      </c>
      <c r="B831" t="s">
        <v>1648</v>
      </c>
      <c r="C831" t="s">
        <v>2648</v>
      </c>
      <c r="D831" t="s">
        <v>3648</v>
      </c>
      <c r="E831" t="s">
        <v>4648</v>
      </c>
      <c r="F831">
        <v>46</v>
      </c>
      <c r="G831" t="s">
        <v>5015</v>
      </c>
      <c r="H831" t="s">
        <v>5020</v>
      </c>
      <c r="I831" t="s">
        <v>5024</v>
      </c>
      <c r="J831">
        <v>128680</v>
      </c>
      <c r="K831">
        <v>83</v>
      </c>
      <c r="L831" s="7">
        <v>45277</v>
      </c>
      <c r="M831" t="s">
        <v>5029</v>
      </c>
      <c r="N831">
        <v>9</v>
      </c>
      <c r="O831">
        <v>5097</v>
      </c>
    </row>
    <row r="832" spans="1:25" x14ac:dyDescent="0.3">
      <c r="A832" t="s">
        <v>436</v>
      </c>
      <c r="B832" t="s">
        <v>1436</v>
      </c>
      <c r="C832" t="s">
        <v>2436</v>
      </c>
      <c r="D832" t="s">
        <v>3436</v>
      </c>
      <c r="E832" t="s">
        <v>4436</v>
      </c>
      <c r="F832">
        <v>56</v>
      </c>
      <c r="G832" t="s">
        <v>5016</v>
      </c>
      <c r="H832" t="s">
        <v>5020</v>
      </c>
      <c r="I832" t="s">
        <v>5024</v>
      </c>
      <c r="J832">
        <v>129178</v>
      </c>
      <c r="K832">
        <v>55</v>
      </c>
      <c r="L832" s="7">
        <v>45173</v>
      </c>
      <c r="M832" t="s">
        <v>5029</v>
      </c>
      <c r="N832">
        <v>10</v>
      </c>
      <c r="O832">
        <v>7452</v>
      </c>
    </row>
    <row r="833" spans="1:15" x14ac:dyDescent="0.3">
      <c r="A833" t="s">
        <v>95</v>
      </c>
      <c r="B833" t="s">
        <v>1095</v>
      </c>
      <c r="C833" t="s">
        <v>2095</v>
      </c>
      <c r="D833" t="s">
        <v>3095</v>
      </c>
      <c r="E833" t="s">
        <v>4095</v>
      </c>
      <c r="F833">
        <v>70</v>
      </c>
      <c r="G833" t="s">
        <v>5017</v>
      </c>
      <c r="H833" t="s">
        <v>5021</v>
      </c>
      <c r="I833" t="s">
        <v>5023</v>
      </c>
      <c r="J833">
        <v>129218</v>
      </c>
      <c r="K833">
        <v>55</v>
      </c>
      <c r="L833" s="7">
        <v>45289</v>
      </c>
      <c r="M833" t="s">
        <v>5029</v>
      </c>
      <c r="N833">
        <v>8</v>
      </c>
      <c r="O833">
        <v>7952</v>
      </c>
    </row>
    <row r="834" spans="1:15" x14ac:dyDescent="0.3">
      <c r="A834" t="s">
        <v>878</v>
      </c>
      <c r="B834" t="s">
        <v>1878</v>
      </c>
      <c r="C834" t="s">
        <v>2878</v>
      </c>
      <c r="D834" t="s">
        <v>3878</v>
      </c>
      <c r="E834" t="s">
        <v>4878</v>
      </c>
      <c r="F834">
        <v>43</v>
      </c>
      <c r="G834" t="s">
        <v>5017</v>
      </c>
      <c r="H834" t="s">
        <v>5018</v>
      </c>
      <c r="I834" t="s">
        <v>5024</v>
      </c>
      <c r="J834">
        <v>129390</v>
      </c>
      <c r="K834">
        <v>93</v>
      </c>
      <c r="L834" s="7">
        <v>45161</v>
      </c>
      <c r="M834" t="s">
        <v>5029</v>
      </c>
      <c r="N834">
        <v>1</v>
      </c>
      <c r="O834">
        <v>3548</v>
      </c>
    </row>
    <row r="835" spans="1:15" x14ac:dyDescent="0.3">
      <c r="A835" t="s">
        <v>906</v>
      </c>
      <c r="B835" t="s">
        <v>1906</v>
      </c>
      <c r="C835" t="s">
        <v>2906</v>
      </c>
      <c r="D835" t="s">
        <v>3906</v>
      </c>
      <c r="E835" t="s">
        <v>4906</v>
      </c>
      <c r="F835">
        <v>35</v>
      </c>
      <c r="G835" t="s">
        <v>5016</v>
      </c>
      <c r="H835" t="s">
        <v>5020</v>
      </c>
      <c r="I835" t="s">
        <v>5023</v>
      </c>
      <c r="J835">
        <v>129686</v>
      </c>
      <c r="K835">
        <v>50</v>
      </c>
      <c r="L835" s="7">
        <v>45032</v>
      </c>
      <c r="M835" t="s">
        <v>5029</v>
      </c>
      <c r="N835">
        <v>8</v>
      </c>
      <c r="O835">
        <v>8755</v>
      </c>
    </row>
    <row r="836" spans="1:15" x14ac:dyDescent="0.3">
      <c r="A836" t="s">
        <v>405</v>
      </c>
      <c r="B836" t="s">
        <v>1405</v>
      </c>
      <c r="C836" t="s">
        <v>2405</v>
      </c>
      <c r="D836" t="s">
        <v>3405</v>
      </c>
      <c r="E836" t="s">
        <v>4405</v>
      </c>
      <c r="F836">
        <v>20</v>
      </c>
      <c r="G836" t="s">
        <v>5017</v>
      </c>
      <c r="H836" t="s">
        <v>5018</v>
      </c>
      <c r="I836" t="s">
        <v>5023</v>
      </c>
      <c r="J836">
        <v>129779</v>
      </c>
      <c r="K836">
        <v>43</v>
      </c>
      <c r="L836" s="7">
        <v>45003</v>
      </c>
      <c r="M836" t="s">
        <v>5028</v>
      </c>
      <c r="N836">
        <v>7</v>
      </c>
      <c r="O836">
        <v>5507</v>
      </c>
    </row>
    <row r="837" spans="1:15" x14ac:dyDescent="0.3">
      <c r="A837" t="s">
        <v>796</v>
      </c>
      <c r="B837" t="s">
        <v>1796</v>
      </c>
      <c r="C837" t="s">
        <v>2796</v>
      </c>
      <c r="D837" t="s">
        <v>3796</v>
      </c>
      <c r="E837" t="s">
        <v>4796</v>
      </c>
      <c r="F837">
        <v>57</v>
      </c>
      <c r="G837" t="s">
        <v>5017</v>
      </c>
      <c r="H837" t="s">
        <v>5022</v>
      </c>
      <c r="I837" t="s">
        <v>5023</v>
      </c>
      <c r="J837">
        <v>129826</v>
      </c>
      <c r="K837">
        <v>33</v>
      </c>
      <c r="L837" s="7">
        <v>45213</v>
      </c>
      <c r="M837" t="s">
        <v>5029</v>
      </c>
      <c r="N837">
        <v>10</v>
      </c>
      <c r="O837">
        <v>3388</v>
      </c>
    </row>
    <row r="838" spans="1:15" x14ac:dyDescent="0.3">
      <c r="A838" t="s">
        <v>853</v>
      </c>
      <c r="B838" t="s">
        <v>1853</v>
      </c>
      <c r="C838" t="s">
        <v>2853</v>
      </c>
      <c r="D838" t="s">
        <v>3853</v>
      </c>
      <c r="E838" t="s">
        <v>4853</v>
      </c>
      <c r="F838">
        <v>18</v>
      </c>
      <c r="G838" t="s">
        <v>5017</v>
      </c>
      <c r="H838" t="s">
        <v>5022</v>
      </c>
      <c r="I838" t="s">
        <v>5023</v>
      </c>
      <c r="J838">
        <v>130051</v>
      </c>
      <c r="K838">
        <v>7</v>
      </c>
      <c r="L838" s="7">
        <v>45268</v>
      </c>
      <c r="M838" t="s">
        <v>5030</v>
      </c>
      <c r="N838">
        <v>6</v>
      </c>
      <c r="O838">
        <v>3869</v>
      </c>
    </row>
    <row r="839" spans="1:15" x14ac:dyDescent="0.3">
      <c r="A839" t="s">
        <v>272</v>
      </c>
      <c r="B839" t="s">
        <v>1272</v>
      </c>
      <c r="C839" t="s">
        <v>2272</v>
      </c>
      <c r="D839" t="s">
        <v>3272</v>
      </c>
      <c r="E839" t="s">
        <v>4272</v>
      </c>
      <c r="F839">
        <v>42</v>
      </c>
      <c r="G839" t="s">
        <v>5015</v>
      </c>
      <c r="H839" t="s">
        <v>5020</v>
      </c>
      <c r="I839" t="s">
        <v>5027</v>
      </c>
      <c r="J839">
        <v>130252</v>
      </c>
      <c r="K839">
        <v>70</v>
      </c>
      <c r="L839" s="7">
        <v>45005</v>
      </c>
      <c r="M839" t="s">
        <v>5028</v>
      </c>
      <c r="N839">
        <v>4</v>
      </c>
      <c r="O839">
        <v>27</v>
      </c>
    </row>
    <row r="840" spans="1:15" x14ac:dyDescent="0.3">
      <c r="A840" t="s">
        <v>177</v>
      </c>
      <c r="B840" t="s">
        <v>1177</v>
      </c>
      <c r="C840" t="s">
        <v>2177</v>
      </c>
      <c r="D840" t="s">
        <v>3177</v>
      </c>
      <c r="E840" t="s">
        <v>4177</v>
      </c>
      <c r="F840">
        <v>47</v>
      </c>
      <c r="G840" t="s">
        <v>5015</v>
      </c>
      <c r="H840" t="s">
        <v>5018</v>
      </c>
      <c r="I840" t="s">
        <v>5027</v>
      </c>
      <c r="J840">
        <v>130453</v>
      </c>
      <c r="K840">
        <v>85</v>
      </c>
      <c r="L840" s="7">
        <v>45261</v>
      </c>
      <c r="M840" t="s">
        <v>5030</v>
      </c>
      <c r="N840">
        <v>4</v>
      </c>
      <c r="O840">
        <v>2200</v>
      </c>
    </row>
    <row r="841" spans="1:15" x14ac:dyDescent="0.3">
      <c r="A841" t="s">
        <v>481</v>
      </c>
      <c r="B841" t="s">
        <v>1481</v>
      </c>
      <c r="C841" t="s">
        <v>2481</v>
      </c>
      <c r="D841" t="s">
        <v>3481</v>
      </c>
      <c r="E841" t="s">
        <v>4481</v>
      </c>
      <c r="F841">
        <v>32</v>
      </c>
      <c r="G841" t="s">
        <v>5015</v>
      </c>
      <c r="H841" t="s">
        <v>5021</v>
      </c>
      <c r="I841" t="s">
        <v>5026</v>
      </c>
      <c r="J841">
        <v>130468</v>
      </c>
      <c r="K841">
        <v>6</v>
      </c>
      <c r="L841" s="7">
        <v>44985</v>
      </c>
      <c r="M841" t="s">
        <v>5028</v>
      </c>
      <c r="N841">
        <v>8</v>
      </c>
      <c r="O841">
        <v>8076</v>
      </c>
    </row>
    <row r="842" spans="1:15" x14ac:dyDescent="0.3">
      <c r="A842" t="s">
        <v>68</v>
      </c>
      <c r="B842" t="s">
        <v>1068</v>
      </c>
      <c r="C842" t="s">
        <v>2068</v>
      </c>
      <c r="D842" t="s">
        <v>3068</v>
      </c>
      <c r="E842" t="s">
        <v>4068</v>
      </c>
      <c r="F842">
        <v>27</v>
      </c>
      <c r="G842" t="s">
        <v>5017</v>
      </c>
      <c r="H842" t="s">
        <v>5021</v>
      </c>
      <c r="I842" t="s">
        <v>5024</v>
      </c>
      <c r="J842">
        <v>130700</v>
      </c>
      <c r="K842">
        <v>72</v>
      </c>
      <c r="L842" s="7">
        <v>44946</v>
      </c>
      <c r="M842" t="s">
        <v>5030</v>
      </c>
      <c r="N842">
        <v>2</v>
      </c>
      <c r="O842">
        <v>2777</v>
      </c>
    </row>
    <row r="843" spans="1:15" x14ac:dyDescent="0.3">
      <c r="A843" t="s">
        <v>750</v>
      </c>
      <c r="B843" t="s">
        <v>1750</v>
      </c>
      <c r="C843" t="s">
        <v>2750</v>
      </c>
      <c r="D843" t="s">
        <v>3750</v>
      </c>
      <c r="E843" t="s">
        <v>4750</v>
      </c>
      <c r="F843">
        <v>41</v>
      </c>
      <c r="G843" t="s">
        <v>5015</v>
      </c>
      <c r="H843" t="s">
        <v>5019</v>
      </c>
      <c r="I843" t="s">
        <v>5023</v>
      </c>
      <c r="J843">
        <v>131015</v>
      </c>
      <c r="K843">
        <v>41</v>
      </c>
      <c r="L843" s="7">
        <v>45133</v>
      </c>
      <c r="M843" t="s">
        <v>5028</v>
      </c>
      <c r="N843">
        <v>6</v>
      </c>
      <c r="O843">
        <v>1348</v>
      </c>
    </row>
    <row r="844" spans="1:15" x14ac:dyDescent="0.3">
      <c r="A844" t="s">
        <v>151</v>
      </c>
      <c r="B844" t="s">
        <v>1151</v>
      </c>
      <c r="C844" t="s">
        <v>2151</v>
      </c>
      <c r="D844" t="s">
        <v>3151</v>
      </c>
      <c r="E844" t="s">
        <v>4151</v>
      </c>
      <c r="F844">
        <v>31</v>
      </c>
      <c r="G844" t="s">
        <v>5015</v>
      </c>
      <c r="H844" t="s">
        <v>5022</v>
      </c>
      <c r="I844" t="s">
        <v>5023</v>
      </c>
      <c r="J844">
        <v>131267</v>
      </c>
      <c r="K844">
        <v>97</v>
      </c>
      <c r="L844" s="7">
        <v>44973</v>
      </c>
      <c r="M844" t="s">
        <v>5030</v>
      </c>
      <c r="N844">
        <v>2</v>
      </c>
      <c r="O844">
        <v>9188</v>
      </c>
    </row>
    <row r="845" spans="1:15" x14ac:dyDescent="0.3">
      <c r="A845" t="s">
        <v>888</v>
      </c>
      <c r="B845" t="s">
        <v>1888</v>
      </c>
      <c r="C845" t="s">
        <v>2888</v>
      </c>
      <c r="D845" t="s">
        <v>3888</v>
      </c>
      <c r="E845" t="s">
        <v>4888</v>
      </c>
      <c r="F845">
        <v>36</v>
      </c>
      <c r="G845" t="s">
        <v>5015</v>
      </c>
      <c r="H845" t="s">
        <v>5018</v>
      </c>
      <c r="I845" t="s">
        <v>5026</v>
      </c>
      <c r="J845">
        <v>131312</v>
      </c>
      <c r="K845">
        <v>69</v>
      </c>
      <c r="L845" s="7">
        <v>45119</v>
      </c>
      <c r="M845" t="s">
        <v>5029</v>
      </c>
      <c r="N845">
        <v>7</v>
      </c>
      <c r="O845">
        <v>2149</v>
      </c>
    </row>
    <row r="846" spans="1:15" x14ac:dyDescent="0.3">
      <c r="A846" t="s">
        <v>531</v>
      </c>
      <c r="B846" t="s">
        <v>1531</v>
      </c>
      <c r="C846" t="s">
        <v>2531</v>
      </c>
      <c r="D846" t="s">
        <v>3531</v>
      </c>
      <c r="E846" t="s">
        <v>4531</v>
      </c>
      <c r="F846">
        <v>23</v>
      </c>
      <c r="G846" t="s">
        <v>5016</v>
      </c>
      <c r="H846" t="s">
        <v>5021</v>
      </c>
      <c r="I846" t="s">
        <v>5027</v>
      </c>
      <c r="J846">
        <v>131446</v>
      </c>
      <c r="K846">
        <v>70</v>
      </c>
      <c r="L846" s="7">
        <v>45135</v>
      </c>
      <c r="M846" t="s">
        <v>5029</v>
      </c>
      <c r="N846">
        <v>10</v>
      </c>
      <c r="O846">
        <v>3267</v>
      </c>
    </row>
    <row r="847" spans="1:15" x14ac:dyDescent="0.3">
      <c r="A847" t="s">
        <v>111</v>
      </c>
      <c r="B847" t="s">
        <v>1111</v>
      </c>
      <c r="C847" t="s">
        <v>2111</v>
      </c>
      <c r="D847" t="s">
        <v>3111</v>
      </c>
      <c r="E847" t="s">
        <v>4111</v>
      </c>
      <c r="F847">
        <v>29</v>
      </c>
      <c r="G847" t="s">
        <v>5017</v>
      </c>
      <c r="H847" t="s">
        <v>5022</v>
      </c>
      <c r="I847" t="s">
        <v>5025</v>
      </c>
      <c r="J847">
        <v>131500</v>
      </c>
      <c r="K847">
        <v>100</v>
      </c>
      <c r="L847" s="7">
        <v>45050</v>
      </c>
      <c r="M847" t="s">
        <v>5029</v>
      </c>
      <c r="N847">
        <v>6</v>
      </c>
      <c r="O847">
        <v>8241</v>
      </c>
    </row>
    <row r="848" spans="1:15" x14ac:dyDescent="0.3">
      <c r="A848" t="s">
        <v>462</v>
      </c>
      <c r="B848" t="s">
        <v>1462</v>
      </c>
      <c r="C848" t="s">
        <v>2462</v>
      </c>
      <c r="D848" t="s">
        <v>3462</v>
      </c>
      <c r="E848" t="s">
        <v>4462</v>
      </c>
      <c r="F848">
        <v>46</v>
      </c>
      <c r="G848" t="s">
        <v>5015</v>
      </c>
      <c r="H848" t="s">
        <v>5022</v>
      </c>
      <c r="I848" t="s">
        <v>5027</v>
      </c>
      <c r="J848">
        <v>131523</v>
      </c>
      <c r="K848">
        <v>19</v>
      </c>
      <c r="L848" s="7">
        <v>44998</v>
      </c>
      <c r="M848" t="s">
        <v>5029</v>
      </c>
      <c r="N848">
        <v>9</v>
      </c>
      <c r="O848">
        <v>690</v>
      </c>
    </row>
    <row r="849" spans="1:15" x14ac:dyDescent="0.3">
      <c r="A849" t="s">
        <v>217</v>
      </c>
      <c r="B849" t="s">
        <v>1217</v>
      </c>
      <c r="C849" t="s">
        <v>2217</v>
      </c>
      <c r="D849" t="s">
        <v>3217</v>
      </c>
      <c r="E849" t="s">
        <v>4217</v>
      </c>
      <c r="F849">
        <v>43</v>
      </c>
      <c r="G849" t="s">
        <v>5016</v>
      </c>
      <c r="H849" t="s">
        <v>5020</v>
      </c>
      <c r="I849" t="s">
        <v>5024</v>
      </c>
      <c r="J849">
        <v>131692</v>
      </c>
      <c r="K849">
        <v>84</v>
      </c>
      <c r="L849" s="7">
        <v>45080</v>
      </c>
      <c r="M849" t="s">
        <v>5029</v>
      </c>
      <c r="N849">
        <v>6</v>
      </c>
      <c r="O849">
        <v>6046</v>
      </c>
    </row>
    <row r="850" spans="1:15" x14ac:dyDescent="0.3">
      <c r="A850" t="s">
        <v>518</v>
      </c>
      <c r="B850" t="s">
        <v>1518</v>
      </c>
      <c r="C850" t="s">
        <v>2518</v>
      </c>
      <c r="D850" t="s">
        <v>3518</v>
      </c>
      <c r="E850" t="s">
        <v>4518</v>
      </c>
      <c r="F850">
        <v>59</v>
      </c>
      <c r="G850" t="s">
        <v>5017</v>
      </c>
      <c r="H850" t="s">
        <v>5018</v>
      </c>
      <c r="I850" t="s">
        <v>5027</v>
      </c>
      <c r="J850">
        <v>131969</v>
      </c>
      <c r="K850">
        <v>66</v>
      </c>
      <c r="L850" s="7">
        <v>45142</v>
      </c>
      <c r="M850" t="s">
        <v>5030</v>
      </c>
      <c r="N850">
        <v>3</v>
      </c>
      <c r="O850">
        <v>593</v>
      </c>
    </row>
    <row r="851" spans="1:15" x14ac:dyDescent="0.3">
      <c r="A851" t="s">
        <v>577</v>
      </c>
      <c r="B851" t="s">
        <v>1577</v>
      </c>
      <c r="C851" t="s">
        <v>2577</v>
      </c>
      <c r="D851" t="s">
        <v>3577</v>
      </c>
      <c r="E851" t="s">
        <v>4577</v>
      </c>
      <c r="F851">
        <v>69</v>
      </c>
      <c r="G851" t="s">
        <v>5017</v>
      </c>
      <c r="H851" t="s">
        <v>5020</v>
      </c>
      <c r="I851" t="s">
        <v>5025</v>
      </c>
      <c r="J851">
        <v>131994</v>
      </c>
      <c r="K851">
        <v>76</v>
      </c>
      <c r="L851" s="7">
        <v>45198</v>
      </c>
      <c r="M851" t="s">
        <v>5030</v>
      </c>
      <c r="N851">
        <v>7</v>
      </c>
      <c r="O851">
        <v>4484</v>
      </c>
    </row>
    <row r="852" spans="1:15" x14ac:dyDescent="0.3">
      <c r="A852" t="s">
        <v>715</v>
      </c>
      <c r="B852" t="s">
        <v>1715</v>
      </c>
      <c r="C852" t="s">
        <v>2715</v>
      </c>
      <c r="D852" t="s">
        <v>3715</v>
      </c>
      <c r="E852" t="s">
        <v>4715</v>
      </c>
      <c r="F852">
        <v>66</v>
      </c>
      <c r="G852" t="s">
        <v>5015</v>
      </c>
      <c r="H852" t="s">
        <v>5018</v>
      </c>
      <c r="I852" t="s">
        <v>5025</v>
      </c>
      <c r="J852">
        <v>131997</v>
      </c>
      <c r="K852">
        <v>45</v>
      </c>
      <c r="L852" s="7">
        <v>45055</v>
      </c>
      <c r="M852" t="s">
        <v>5029</v>
      </c>
      <c r="N852">
        <v>5</v>
      </c>
      <c r="O852">
        <v>4766</v>
      </c>
    </row>
    <row r="853" spans="1:15" x14ac:dyDescent="0.3">
      <c r="A853" t="s">
        <v>57</v>
      </c>
      <c r="B853" t="s">
        <v>1057</v>
      </c>
      <c r="C853" t="s">
        <v>2057</v>
      </c>
      <c r="D853" t="s">
        <v>3057</v>
      </c>
      <c r="E853" t="s">
        <v>4057</v>
      </c>
      <c r="F853">
        <v>56</v>
      </c>
      <c r="G853" t="s">
        <v>5016</v>
      </c>
      <c r="H853" t="s">
        <v>5018</v>
      </c>
      <c r="I853" t="s">
        <v>5024</v>
      </c>
      <c r="J853">
        <v>132108</v>
      </c>
      <c r="K853">
        <v>53</v>
      </c>
      <c r="L853" s="7">
        <v>45130</v>
      </c>
      <c r="M853" t="s">
        <v>5029</v>
      </c>
      <c r="N853">
        <v>6</v>
      </c>
      <c r="O853">
        <v>5790</v>
      </c>
    </row>
    <row r="854" spans="1:15" x14ac:dyDescent="0.3">
      <c r="A854" t="s">
        <v>139</v>
      </c>
      <c r="B854" t="s">
        <v>1139</v>
      </c>
      <c r="C854" t="s">
        <v>2139</v>
      </c>
      <c r="D854" t="s">
        <v>3139</v>
      </c>
      <c r="E854" t="s">
        <v>4139</v>
      </c>
      <c r="F854">
        <v>62</v>
      </c>
      <c r="G854" t="s">
        <v>5016</v>
      </c>
      <c r="H854" t="s">
        <v>5022</v>
      </c>
      <c r="I854" t="s">
        <v>5023</v>
      </c>
      <c r="J854">
        <v>132140</v>
      </c>
      <c r="K854">
        <v>90</v>
      </c>
      <c r="L854" s="7">
        <v>45081</v>
      </c>
      <c r="M854" t="s">
        <v>5029</v>
      </c>
      <c r="N854">
        <v>10</v>
      </c>
      <c r="O854">
        <v>7061</v>
      </c>
    </row>
    <row r="855" spans="1:15" x14ac:dyDescent="0.3">
      <c r="A855" t="s">
        <v>487</v>
      </c>
      <c r="B855" t="s">
        <v>1487</v>
      </c>
      <c r="C855" t="s">
        <v>2487</v>
      </c>
      <c r="D855" t="s">
        <v>3487</v>
      </c>
      <c r="E855" t="s">
        <v>4487</v>
      </c>
      <c r="F855">
        <v>67</v>
      </c>
      <c r="G855" t="s">
        <v>5016</v>
      </c>
      <c r="H855" t="s">
        <v>5018</v>
      </c>
      <c r="I855" t="s">
        <v>5025</v>
      </c>
      <c r="J855">
        <v>132159</v>
      </c>
      <c r="K855">
        <v>75</v>
      </c>
      <c r="L855" s="7">
        <v>45273</v>
      </c>
      <c r="M855" t="s">
        <v>5028</v>
      </c>
      <c r="N855">
        <v>1</v>
      </c>
      <c r="O855">
        <v>1201</v>
      </c>
    </row>
    <row r="856" spans="1:15" x14ac:dyDescent="0.3">
      <c r="A856" t="s">
        <v>858</v>
      </c>
      <c r="B856" t="s">
        <v>1858</v>
      </c>
      <c r="C856" t="s">
        <v>2858</v>
      </c>
      <c r="D856" t="s">
        <v>3858</v>
      </c>
      <c r="E856" t="s">
        <v>4858</v>
      </c>
      <c r="F856">
        <v>59</v>
      </c>
      <c r="G856" t="s">
        <v>5016</v>
      </c>
      <c r="H856" t="s">
        <v>5020</v>
      </c>
      <c r="I856" t="s">
        <v>5023</v>
      </c>
      <c r="J856">
        <v>132184</v>
      </c>
      <c r="K856">
        <v>90</v>
      </c>
      <c r="L856" s="7">
        <v>45275</v>
      </c>
      <c r="M856" t="s">
        <v>5029</v>
      </c>
      <c r="N856">
        <v>9</v>
      </c>
      <c r="O856">
        <v>7798</v>
      </c>
    </row>
    <row r="857" spans="1:15" x14ac:dyDescent="0.3">
      <c r="A857" t="s">
        <v>833</v>
      </c>
      <c r="B857" t="s">
        <v>1833</v>
      </c>
      <c r="C857" t="s">
        <v>2833</v>
      </c>
      <c r="D857" t="s">
        <v>3833</v>
      </c>
      <c r="E857" t="s">
        <v>4833</v>
      </c>
      <c r="F857">
        <v>23</v>
      </c>
      <c r="G857" t="s">
        <v>5017</v>
      </c>
      <c r="H857" t="s">
        <v>5022</v>
      </c>
      <c r="I857" t="s">
        <v>5024</v>
      </c>
      <c r="J857">
        <v>132280</v>
      </c>
      <c r="K857">
        <v>57</v>
      </c>
      <c r="L857" s="7">
        <v>45271</v>
      </c>
      <c r="M857" t="s">
        <v>5030</v>
      </c>
      <c r="N857">
        <v>10</v>
      </c>
      <c r="O857">
        <v>8906</v>
      </c>
    </row>
    <row r="858" spans="1:15" x14ac:dyDescent="0.3">
      <c r="A858" t="s">
        <v>664</v>
      </c>
      <c r="B858" t="s">
        <v>1664</v>
      </c>
      <c r="C858" t="s">
        <v>2664</v>
      </c>
      <c r="D858" t="s">
        <v>3664</v>
      </c>
      <c r="E858" t="s">
        <v>4664</v>
      </c>
      <c r="F858">
        <v>43</v>
      </c>
      <c r="G858" t="s">
        <v>5016</v>
      </c>
      <c r="H858" t="s">
        <v>5021</v>
      </c>
      <c r="I858" t="s">
        <v>5027</v>
      </c>
      <c r="J858">
        <v>132326</v>
      </c>
      <c r="K858">
        <v>26</v>
      </c>
      <c r="L858" s="7">
        <v>45270</v>
      </c>
      <c r="M858" t="s">
        <v>5030</v>
      </c>
      <c r="N858">
        <v>1</v>
      </c>
      <c r="O858">
        <v>553</v>
      </c>
    </row>
    <row r="859" spans="1:15" x14ac:dyDescent="0.3">
      <c r="A859" t="s">
        <v>278</v>
      </c>
      <c r="B859" t="s">
        <v>1278</v>
      </c>
      <c r="C859" t="s">
        <v>2278</v>
      </c>
      <c r="D859" t="s">
        <v>3278</v>
      </c>
      <c r="E859" t="s">
        <v>4278</v>
      </c>
      <c r="F859">
        <v>56</v>
      </c>
      <c r="G859" t="s">
        <v>5017</v>
      </c>
      <c r="H859" t="s">
        <v>5022</v>
      </c>
      <c r="I859" t="s">
        <v>5025</v>
      </c>
      <c r="J859">
        <v>132346</v>
      </c>
      <c r="K859">
        <v>89</v>
      </c>
      <c r="L859" s="7">
        <v>45231</v>
      </c>
      <c r="M859" t="s">
        <v>5029</v>
      </c>
      <c r="N859">
        <v>3</v>
      </c>
      <c r="O859">
        <v>3085</v>
      </c>
    </row>
    <row r="860" spans="1:15" x14ac:dyDescent="0.3">
      <c r="A860" t="s">
        <v>680</v>
      </c>
      <c r="B860" t="s">
        <v>1680</v>
      </c>
      <c r="C860" t="s">
        <v>2680</v>
      </c>
      <c r="D860" t="s">
        <v>3680</v>
      </c>
      <c r="E860" t="s">
        <v>4680</v>
      </c>
      <c r="F860">
        <v>34</v>
      </c>
      <c r="G860" t="s">
        <v>5017</v>
      </c>
      <c r="H860" t="s">
        <v>5021</v>
      </c>
      <c r="I860" t="s">
        <v>5025</v>
      </c>
      <c r="J860">
        <v>132353</v>
      </c>
      <c r="K860">
        <v>5</v>
      </c>
      <c r="L860" s="7">
        <v>45003</v>
      </c>
      <c r="M860" t="s">
        <v>5029</v>
      </c>
      <c r="N860">
        <v>4</v>
      </c>
      <c r="O860">
        <v>5276</v>
      </c>
    </row>
    <row r="861" spans="1:15" x14ac:dyDescent="0.3">
      <c r="A861" t="s">
        <v>284</v>
      </c>
      <c r="B861" t="s">
        <v>1284</v>
      </c>
      <c r="C861" t="s">
        <v>2284</v>
      </c>
      <c r="D861" t="s">
        <v>3284</v>
      </c>
      <c r="E861" t="s">
        <v>4284</v>
      </c>
      <c r="F861">
        <v>67</v>
      </c>
      <c r="G861" t="s">
        <v>5017</v>
      </c>
      <c r="H861" t="s">
        <v>5020</v>
      </c>
      <c r="I861" t="s">
        <v>5027</v>
      </c>
      <c r="J861">
        <v>132476</v>
      </c>
      <c r="K861">
        <v>45</v>
      </c>
      <c r="L861" s="7">
        <v>45214</v>
      </c>
      <c r="M861" t="s">
        <v>5029</v>
      </c>
      <c r="N861">
        <v>7</v>
      </c>
      <c r="O861">
        <v>9051</v>
      </c>
    </row>
    <row r="862" spans="1:15" x14ac:dyDescent="0.3">
      <c r="A862" t="s">
        <v>507</v>
      </c>
      <c r="B862" t="s">
        <v>1507</v>
      </c>
      <c r="C862" t="s">
        <v>2507</v>
      </c>
      <c r="D862" t="s">
        <v>3507</v>
      </c>
      <c r="E862" t="s">
        <v>4507</v>
      </c>
      <c r="F862">
        <v>48</v>
      </c>
      <c r="G862" t="s">
        <v>5017</v>
      </c>
      <c r="H862" t="s">
        <v>5018</v>
      </c>
      <c r="I862" t="s">
        <v>5025</v>
      </c>
      <c r="J862">
        <v>132486</v>
      </c>
      <c r="K862">
        <v>95</v>
      </c>
      <c r="L862" s="7">
        <v>44953</v>
      </c>
      <c r="M862" t="s">
        <v>5029</v>
      </c>
      <c r="N862">
        <v>1</v>
      </c>
      <c r="O862">
        <v>9387</v>
      </c>
    </row>
    <row r="863" spans="1:15" x14ac:dyDescent="0.3">
      <c r="A863" t="s">
        <v>886</v>
      </c>
      <c r="B863" t="s">
        <v>1886</v>
      </c>
      <c r="C863" t="s">
        <v>2886</v>
      </c>
      <c r="D863" t="s">
        <v>3886</v>
      </c>
      <c r="E863" t="s">
        <v>4886</v>
      </c>
      <c r="F863">
        <v>39</v>
      </c>
      <c r="G863" t="s">
        <v>5015</v>
      </c>
      <c r="H863" t="s">
        <v>5020</v>
      </c>
      <c r="I863" t="s">
        <v>5024</v>
      </c>
      <c r="J863">
        <v>132577</v>
      </c>
      <c r="K863">
        <v>64</v>
      </c>
      <c r="L863" s="7">
        <v>45062</v>
      </c>
      <c r="M863" t="s">
        <v>5028</v>
      </c>
      <c r="N863">
        <v>4</v>
      </c>
      <c r="O863">
        <v>430</v>
      </c>
    </row>
    <row r="864" spans="1:15" x14ac:dyDescent="0.3">
      <c r="A864" t="s">
        <v>537</v>
      </c>
      <c r="B864" t="s">
        <v>1537</v>
      </c>
      <c r="C864" t="s">
        <v>2537</v>
      </c>
      <c r="D864" t="s">
        <v>3537</v>
      </c>
      <c r="E864" t="s">
        <v>4537</v>
      </c>
      <c r="F864">
        <v>37</v>
      </c>
      <c r="G864" t="s">
        <v>5017</v>
      </c>
      <c r="H864" t="s">
        <v>5020</v>
      </c>
      <c r="I864" t="s">
        <v>5026</v>
      </c>
      <c r="J864">
        <v>133129</v>
      </c>
      <c r="K864">
        <v>74</v>
      </c>
      <c r="L864" s="7">
        <v>45084</v>
      </c>
      <c r="M864" t="s">
        <v>5029</v>
      </c>
      <c r="N864">
        <v>6</v>
      </c>
      <c r="O864">
        <v>8420</v>
      </c>
    </row>
    <row r="865" spans="1:15" x14ac:dyDescent="0.3">
      <c r="A865" t="s">
        <v>302</v>
      </c>
      <c r="B865" t="s">
        <v>1302</v>
      </c>
      <c r="C865" t="s">
        <v>2302</v>
      </c>
      <c r="D865" t="s">
        <v>3302</v>
      </c>
      <c r="E865" t="s">
        <v>4302</v>
      </c>
      <c r="F865">
        <v>33</v>
      </c>
      <c r="G865" t="s">
        <v>5016</v>
      </c>
      <c r="H865" t="s">
        <v>5018</v>
      </c>
      <c r="I865" t="s">
        <v>5025</v>
      </c>
      <c r="J865">
        <v>133130</v>
      </c>
      <c r="K865">
        <v>48</v>
      </c>
      <c r="L865" s="7">
        <v>45104</v>
      </c>
      <c r="M865" t="s">
        <v>5028</v>
      </c>
      <c r="N865">
        <v>1</v>
      </c>
      <c r="O865">
        <v>4063</v>
      </c>
    </row>
    <row r="866" spans="1:15" x14ac:dyDescent="0.3">
      <c r="A866" t="s">
        <v>209</v>
      </c>
      <c r="B866" t="s">
        <v>1209</v>
      </c>
      <c r="C866" t="s">
        <v>2209</v>
      </c>
      <c r="D866" t="s">
        <v>3209</v>
      </c>
      <c r="E866" t="s">
        <v>4209</v>
      </c>
      <c r="F866">
        <v>53</v>
      </c>
      <c r="G866" t="s">
        <v>5015</v>
      </c>
      <c r="H866" t="s">
        <v>5021</v>
      </c>
      <c r="I866" t="s">
        <v>5024</v>
      </c>
      <c r="J866">
        <v>133280</v>
      </c>
      <c r="K866">
        <v>88</v>
      </c>
      <c r="L866" s="7">
        <v>44998</v>
      </c>
      <c r="M866" t="s">
        <v>5028</v>
      </c>
      <c r="N866">
        <v>9</v>
      </c>
      <c r="O866">
        <v>8738</v>
      </c>
    </row>
    <row r="867" spans="1:15" x14ac:dyDescent="0.3">
      <c r="A867" t="s">
        <v>642</v>
      </c>
      <c r="B867" t="s">
        <v>1642</v>
      </c>
      <c r="C867" t="s">
        <v>2642</v>
      </c>
      <c r="D867" t="s">
        <v>3642</v>
      </c>
      <c r="E867" t="s">
        <v>4642</v>
      </c>
      <c r="F867">
        <v>21</v>
      </c>
      <c r="G867" t="s">
        <v>5015</v>
      </c>
      <c r="H867" t="s">
        <v>5018</v>
      </c>
      <c r="I867" t="s">
        <v>5024</v>
      </c>
      <c r="J867">
        <v>133320</v>
      </c>
      <c r="K867">
        <v>61</v>
      </c>
      <c r="L867" s="7">
        <v>45285</v>
      </c>
      <c r="M867" t="s">
        <v>5030</v>
      </c>
      <c r="N867">
        <v>1</v>
      </c>
      <c r="O867">
        <v>1377</v>
      </c>
    </row>
    <row r="868" spans="1:15" x14ac:dyDescent="0.3">
      <c r="A868" t="s">
        <v>439</v>
      </c>
      <c r="B868" t="s">
        <v>1439</v>
      </c>
      <c r="C868" t="s">
        <v>2439</v>
      </c>
      <c r="D868" t="s">
        <v>3439</v>
      </c>
      <c r="E868" t="s">
        <v>4439</v>
      </c>
      <c r="F868">
        <v>61</v>
      </c>
      <c r="G868" t="s">
        <v>5017</v>
      </c>
      <c r="H868" t="s">
        <v>5021</v>
      </c>
      <c r="I868" t="s">
        <v>5023</v>
      </c>
      <c r="J868">
        <v>133423</v>
      </c>
      <c r="K868">
        <v>66</v>
      </c>
      <c r="L868" s="7">
        <v>45185</v>
      </c>
      <c r="M868" t="s">
        <v>5030</v>
      </c>
      <c r="N868">
        <v>1</v>
      </c>
      <c r="O868">
        <v>4772</v>
      </c>
    </row>
    <row r="869" spans="1:15" x14ac:dyDescent="0.3">
      <c r="A869" t="s">
        <v>233</v>
      </c>
      <c r="B869" t="s">
        <v>1233</v>
      </c>
      <c r="C869" t="s">
        <v>2233</v>
      </c>
      <c r="D869" t="s">
        <v>3233</v>
      </c>
      <c r="E869" t="s">
        <v>4233</v>
      </c>
      <c r="F869">
        <v>42</v>
      </c>
      <c r="G869" t="s">
        <v>5017</v>
      </c>
      <c r="H869" t="s">
        <v>5021</v>
      </c>
      <c r="I869" t="s">
        <v>5026</v>
      </c>
      <c r="J869">
        <v>133481</v>
      </c>
      <c r="K869">
        <v>68</v>
      </c>
      <c r="L869" s="7">
        <v>44979</v>
      </c>
      <c r="M869" t="s">
        <v>5028</v>
      </c>
      <c r="N869">
        <v>3</v>
      </c>
      <c r="O869">
        <v>9049</v>
      </c>
    </row>
    <row r="870" spans="1:15" x14ac:dyDescent="0.3">
      <c r="A870" t="s">
        <v>562</v>
      </c>
      <c r="B870" t="s">
        <v>1562</v>
      </c>
      <c r="C870" t="s">
        <v>2562</v>
      </c>
      <c r="D870" t="s">
        <v>3562</v>
      </c>
      <c r="E870" t="s">
        <v>4562</v>
      </c>
      <c r="F870">
        <v>62</v>
      </c>
      <c r="G870" t="s">
        <v>5016</v>
      </c>
      <c r="H870" t="s">
        <v>5019</v>
      </c>
      <c r="I870" t="s">
        <v>5027</v>
      </c>
      <c r="J870">
        <v>133812</v>
      </c>
      <c r="K870">
        <v>88</v>
      </c>
      <c r="L870" s="7">
        <v>45116</v>
      </c>
      <c r="M870" t="s">
        <v>5028</v>
      </c>
      <c r="N870">
        <v>10</v>
      </c>
      <c r="O870">
        <v>4252</v>
      </c>
    </row>
    <row r="871" spans="1:15" x14ac:dyDescent="0.3">
      <c r="A871" t="s">
        <v>972</v>
      </c>
      <c r="B871" t="s">
        <v>1972</v>
      </c>
      <c r="C871" t="s">
        <v>2972</v>
      </c>
      <c r="D871" t="s">
        <v>3972</v>
      </c>
      <c r="E871" t="s">
        <v>4972</v>
      </c>
      <c r="F871">
        <v>51</v>
      </c>
      <c r="G871" t="s">
        <v>5015</v>
      </c>
      <c r="H871" t="s">
        <v>5020</v>
      </c>
      <c r="I871" t="s">
        <v>5025</v>
      </c>
      <c r="J871">
        <v>133897</v>
      </c>
      <c r="K871">
        <v>15</v>
      </c>
      <c r="L871" s="7">
        <v>44949</v>
      </c>
      <c r="M871" t="s">
        <v>5030</v>
      </c>
      <c r="N871">
        <v>5</v>
      </c>
      <c r="O871">
        <v>9874</v>
      </c>
    </row>
    <row r="872" spans="1:15" x14ac:dyDescent="0.3">
      <c r="A872" t="s">
        <v>220</v>
      </c>
      <c r="B872" t="s">
        <v>1220</v>
      </c>
      <c r="C872" t="s">
        <v>2220</v>
      </c>
      <c r="D872" t="s">
        <v>3220</v>
      </c>
      <c r="E872" t="s">
        <v>4220</v>
      </c>
      <c r="F872">
        <v>20</v>
      </c>
      <c r="G872" t="s">
        <v>5016</v>
      </c>
      <c r="H872" t="s">
        <v>5022</v>
      </c>
      <c r="I872" t="s">
        <v>5027</v>
      </c>
      <c r="J872">
        <v>133932</v>
      </c>
      <c r="K872">
        <v>46</v>
      </c>
      <c r="L872" s="7">
        <v>45179</v>
      </c>
      <c r="M872" t="s">
        <v>5028</v>
      </c>
      <c r="N872">
        <v>2</v>
      </c>
      <c r="O872">
        <v>3363</v>
      </c>
    </row>
    <row r="873" spans="1:15" x14ac:dyDescent="0.3">
      <c r="A873" t="s">
        <v>755</v>
      </c>
      <c r="B873" t="s">
        <v>1755</v>
      </c>
      <c r="C873" t="s">
        <v>2755</v>
      </c>
      <c r="D873" t="s">
        <v>3755</v>
      </c>
      <c r="E873" t="s">
        <v>4755</v>
      </c>
      <c r="F873">
        <v>58</v>
      </c>
      <c r="G873" t="s">
        <v>5017</v>
      </c>
      <c r="H873" t="s">
        <v>5020</v>
      </c>
      <c r="I873" t="s">
        <v>5025</v>
      </c>
      <c r="J873">
        <v>133961</v>
      </c>
      <c r="K873">
        <v>1</v>
      </c>
      <c r="L873" s="7">
        <v>45044</v>
      </c>
      <c r="M873" t="s">
        <v>5029</v>
      </c>
      <c r="N873">
        <v>1</v>
      </c>
      <c r="O873">
        <v>8525</v>
      </c>
    </row>
    <row r="874" spans="1:15" x14ac:dyDescent="0.3">
      <c r="A874" t="s">
        <v>249</v>
      </c>
      <c r="B874" t="s">
        <v>1249</v>
      </c>
      <c r="C874" t="s">
        <v>2249</v>
      </c>
      <c r="D874" t="s">
        <v>3249</v>
      </c>
      <c r="E874" t="s">
        <v>4249</v>
      </c>
      <c r="F874">
        <v>68</v>
      </c>
      <c r="G874" t="s">
        <v>5016</v>
      </c>
      <c r="H874" t="s">
        <v>5018</v>
      </c>
      <c r="I874" t="s">
        <v>5024</v>
      </c>
      <c r="J874">
        <v>134039</v>
      </c>
      <c r="K874">
        <v>95</v>
      </c>
      <c r="L874" s="7">
        <v>44936</v>
      </c>
      <c r="M874" t="s">
        <v>5030</v>
      </c>
      <c r="N874">
        <v>3</v>
      </c>
      <c r="O874">
        <v>1948</v>
      </c>
    </row>
    <row r="875" spans="1:15" x14ac:dyDescent="0.3">
      <c r="A875" t="s">
        <v>24</v>
      </c>
      <c r="B875" t="s">
        <v>1024</v>
      </c>
      <c r="C875" t="s">
        <v>2024</v>
      </c>
      <c r="D875" t="s">
        <v>3024</v>
      </c>
      <c r="E875" t="s">
        <v>4024</v>
      </c>
      <c r="F875">
        <v>58</v>
      </c>
      <c r="G875" t="s">
        <v>5017</v>
      </c>
      <c r="H875" t="s">
        <v>5019</v>
      </c>
      <c r="I875" t="s">
        <v>5025</v>
      </c>
      <c r="J875">
        <v>134059</v>
      </c>
      <c r="K875">
        <v>82</v>
      </c>
      <c r="L875" s="7">
        <v>45130</v>
      </c>
      <c r="M875" t="s">
        <v>5030</v>
      </c>
      <c r="N875">
        <v>10</v>
      </c>
      <c r="O875">
        <v>5169</v>
      </c>
    </row>
    <row r="876" spans="1:15" x14ac:dyDescent="0.3">
      <c r="A876" t="s">
        <v>153</v>
      </c>
      <c r="B876" t="s">
        <v>1153</v>
      </c>
      <c r="C876" t="s">
        <v>2153</v>
      </c>
      <c r="D876" t="s">
        <v>3153</v>
      </c>
      <c r="E876" t="s">
        <v>4153</v>
      </c>
      <c r="F876">
        <v>30</v>
      </c>
      <c r="G876" t="s">
        <v>5016</v>
      </c>
      <c r="H876" t="s">
        <v>5021</v>
      </c>
      <c r="I876" t="s">
        <v>5026</v>
      </c>
      <c r="J876">
        <v>134203</v>
      </c>
      <c r="K876">
        <v>8</v>
      </c>
      <c r="L876" s="7">
        <v>44952</v>
      </c>
      <c r="M876" t="s">
        <v>5028</v>
      </c>
      <c r="N876">
        <v>10</v>
      </c>
      <c r="O876">
        <v>6286</v>
      </c>
    </row>
    <row r="877" spans="1:15" x14ac:dyDescent="0.3">
      <c r="A877" t="s">
        <v>306</v>
      </c>
      <c r="B877" t="s">
        <v>1306</v>
      </c>
      <c r="C877" t="s">
        <v>2306</v>
      </c>
      <c r="D877" t="s">
        <v>3306</v>
      </c>
      <c r="E877" t="s">
        <v>4306</v>
      </c>
      <c r="F877">
        <v>62</v>
      </c>
      <c r="G877" t="s">
        <v>5015</v>
      </c>
      <c r="H877" t="s">
        <v>5022</v>
      </c>
      <c r="I877" t="s">
        <v>5026</v>
      </c>
      <c r="J877">
        <v>134290</v>
      </c>
      <c r="K877">
        <v>98</v>
      </c>
      <c r="L877" s="7">
        <v>45211</v>
      </c>
      <c r="M877" t="s">
        <v>5030</v>
      </c>
      <c r="N877">
        <v>5</v>
      </c>
      <c r="O877">
        <v>7612</v>
      </c>
    </row>
    <row r="878" spans="1:15" x14ac:dyDescent="0.3">
      <c r="A878" t="s">
        <v>316</v>
      </c>
      <c r="B878" t="s">
        <v>1316</v>
      </c>
      <c r="C878" t="s">
        <v>2316</v>
      </c>
      <c r="D878" t="s">
        <v>3316</v>
      </c>
      <c r="E878" t="s">
        <v>4316</v>
      </c>
      <c r="F878">
        <v>46</v>
      </c>
      <c r="G878" t="s">
        <v>5016</v>
      </c>
      <c r="H878" t="s">
        <v>5020</v>
      </c>
      <c r="I878" t="s">
        <v>5023</v>
      </c>
      <c r="J878">
        <v>134597</v>
      </c>
      <c r="K878">
        <v>57</v>
      </c>
      <c r="L878" s="7">
        <v>45207</v>
      </c>
      <c r="M878" t="s">
        <v>5029</v>
      </c>
      <c r="N878">
        <v>3</v>
      </c>
      <c r="O878">
        <v>1613</v>
      </c>
    </row>
    <row r="879" spans="1:15" x14ac:dyDescent="0.3">
      <c r="A879" t="s">
        <v>949</v>
      </c>
      <c r="B879" t="s">
        <v>1949</v>
      </c>
      <c r="C879" t="s">
        <v>2949</v>
      </c>
      <c r="D879" t="s">
        <v>3949</v>
      </c>
      <c r="E879" t="s">
        <v>4949</v>
      </c>
      <c r="F879">
        <v>67</v>
      </c>
      <c r="G879" t="s">
        <v>5017</v>
      </c>
      <c r="H879" t="s">
        <v>5018</v>
      </c>
      <c r="I879" t="s">
        <v>5023</v>
      </c>
      <c r="J879">
        <v>135126</v>
      </c>
      <c r="K879">
        <v>38</v>
      </c>
      <c r="L879" s="7">
        <v>45062</v>
      </c>
      <c r="M879" t="s">
        <v>5030</v>
      </c>
      <c r="N879">
        <v>9</v>
      </c>
      <c r="O879">
        <v>2772</v>
      </c>
    </row>
    <row r="880" spans="1:15" x14ac:dyDescent="0.3">
      <c r="A880" t="s">
        <v>795</v>
      </c>
      <c r="B880" t="s">
        <v>1795</v>
      </c>
      <c r="C880" t="s">
        <v>2795</v>
      </c>
      <c r="D880" t="s">
        <v>3795</v>
      </c>
      <c r="E880" t="s">
        <v>4795</v>
      </c>
      <c r="F880">
        <v>24</v>
      </c>
      <c r="G880" t="s">
        <v>5016</v>
      </c>
      <c r="H880" t="s">
        <v>5018</v>
      </c>
      <c r="I880" t="s">
        <v>5027</v>
      </c>
      <c r="J880">
        <v>135413</v>
      </c>
      <c r="K880">
        <v>49</v>
      </c>
      <c r="L880" s="7">
        <v>45253</v>
      </c>
      <c r="M880" t="s">
        <v>5028</v>
      </c>
      <c r="N880">
        <v>4</v>
      </c>
      <c r="O880">
        <v>7646</v>
      </c>
    </row>
    <row r="881" spans="1:15" x14ac:dyDescent="0.3">
      <c r="A881" t="s">
        <v>671</v>
      </c>
      <c r="B881" t="s">
        <v>1671</v>
      </c>
      <c r="C881" t="s">
        <v>2671</v>
      </c>
      <c r="D881" t="s">
        <v>3671</v>
      </c>
      <c r="E881" t="s">
        <v>4671</v>
      </c>
      <c r="F881">
        <v>49</v>
      </c>
      <c r="G881" t="s">
        <v>5015</v>
      </c>
      <c r="H881" t="s">
        <v>5019</v>
      </c>
      <c r="I881" t="s">
        <v>5026</v>
      </c>
      <c r="J881">
        <v>135567</v>
      </c>
      <c r="K881">
        <v>0</v>
      </c>
      <c r="L881" s="7">
        <v>45116</v>
      </c>
      <c r="M881" t="s">
        <v>5029</v>
      </c>
      <c r="N881">
        <v>7</v>
      </c>
      <c r="O881">
        <v>4551</v>
      </c>
    </row>
    <row r="882" spans="1:15" x14ac:dyDescent="0.3">
      <c r="A882" t="s">
        <v>337</v>
      </c>
      <c r="B882" t="s">
        <v>1337</v>
      </c>
      <c r="C882" t="s">
        <v>2337</v>
      </c>
      <c r="D882" t="s">
        <v>3337</v>
      </c>
      <c r="E882" t="s">
        <v>4337</v>
      </c>
      <c r="F882">
        <v>69</v>
      </c>
      <c r="G882" t="s">
        <v>5015</v>
      </c>
      <c r="H882" t="s">
        <v>5019</v>
      </c>
      <c r="I882" t="s">
        <v>5025</v>
      </c>
      <c r="J882">
        <v>135599</v>
      </c>
      <c r="K882">
        <v>65</v>
      </c>
      <c r="L882" s="7">
        <v>44939</v>
      </c>
      <c r="M882" t="s">
        <v>5030</v>
      </c>
      <c r="N882">
        <v>7</v>
      </c>
      <c r="O882">
        <v>2646</v>
      </c>
    </row>
    <row r="883" spans="1:15" x14ac:dyDescent="0.3">
      <c r="A883" t="s">
        <v>552</v>
      </c>
      <c r="B883" t="s">
        <v>1552</v>
      </c>
      <c r="C883" t="s">
        <v>2552</v>
      </c>
      <c r="D883" t="s">
        <v>3552</v>
      </c>
      <c r="E883" t="s">
        <v>4552</v>
      </c>
      <c r="F883">
        <v>30</v>
      </c>
      <c r="G883" t="s">
        <v>5016</v>
      </c>
      <c r="H883" t="s">
        <v>5018</v>
      </c>
      <c r="I883" t="s">
        <v>5027</v>
      </c>
      <c r="J883">
        <v>135623</v>
      </c>
      <c r="K883">
        <v>52</v>
      </c>
      <c r="L883" s="7">
        <v>44934</v>
      </c>
      <c r="M883" t="s">
        <v>5028</v>
      </c>
      <c r="N883">
        <v>6</v>
      </c>
      <c r="O883">
        <v>6745</v>
      </c>
    </row>
    <row r="884" spans="1:15" x14ac:dyDescent="0.3">
      <c r="A884" t="s">
        <v>374</v>
      </c>
      <c r="B884" t="s">
        <v>1374</v>
      </c>
      <c r="C884" t="s">
        <v>2374</v>
      </c>
      <c r="D884" t="s">
        <v>3374</v>
      </c>
      <c r="E884" t="s">
        <v>4374</v>
      </c>
      <c r="F884">
        <v>22</v>
      </c>
      <c r="G884" t="s">
        <v>5015</v>
      </c>
      <c r="H884" t="s">
        <v>5019</v>
      </c>
      <c r="I884" t="s">
        <v>5025</v>
      </c>
      <c r="J884">
        <v>136270</v>
      </c>
      <c r="K884">
        <v>44</v>
      </c>
      <c r="L884" s="7">
        <v>45277</v>
      </c>
      <c r="M884" t="s">
        <v>5029</v>
      </c>
      <c r="N884">
        <v>4</v>
      </c>
      <c r="O884">
        <v>1825</v>
      </c>
    </row>
    <row r="885" spans="1:15" x14ac:dyDescent="0.3">
      <c r="A885" t="s">
        <v>631</v>
      </c>
      <c r="B885" t="s">
        <v>1631</v>
      </c>
      <c r="C885" t="s">
        <v>2631</v>
      </c>
      <c r="D885" t="s">
        <v>3631</v>
      </c>
      <c r="E885" t="s">
        <v>4631</v>
      </c>
      <c r="F885">
        <v>22</v>
      </c>
      <c r="G885" t="s">
        <v>5016</v>
      </c>
      <c r="H885" t="s">
        <v>5021</v>
      </c>
      <c r="I885" t="s">
        <v>5025</v>
      </c>
      <c r="J885">
        <v>136353</v>
      </c>
      <c r="K885">
        <v>55</v>
      </c>
      <c r="L885" s="7">
        <v>44998</v>
      </c>
      <c r="M885" t="s">
        <v>5028</v>
      </c>
      <c r="N885">
        <v>9</v>
      </c>
      <c r="O885">
        <v>7674</v>
      </c>
    </row>
    <row r="886" spans="1:15" x14ac:dyDescent="0.3">
      <c r="A886" t="s">
        <v>674</v>
      </c>
      <c r="B886" t="s">
        <v>1674</v>
      </c>
      <c r="C886" t="s">
        <v>2674</v>
      </c>
      <c r="D886" t="s">
        <v>3674</v>
      </c>
      <c r="E886" t="s">
        <v>4674</v>
      </c>
      <c r="F886">
        <v>38</v>
      </c>
      <c r="G886" t="s">
        <v>5015</v>
      </c>
      <c r="H886" t="s">
        <v>5019</v>
      </c>
      <c r="I886" t="s">
        <v>5027</v>
      </c>
      <c r="J886">
        <v>136473</v>
      </c>
      <c r="K886">
        <v>64</v>
      </c>
      <c r="L886" s="7">
        <v>45115</v>
      </c>
      <c r="M886" t="s">
        <v>5029</v>
      </c>
      <c r="N886">
        <v>5</v>
      </c>
      <c r="O886">
        <v>9081</v>
      </c>
    </row>
    <row r="887" spans="1:15" x14ac:dyDescent="0.3">
      <c r="A887" t="s">
        <v>592</v>
      </c>
      <c r="B887" t="s">
        <v>1592</v>
      </c>
      <c r="C887" t="s">
        <v>2592</v>
      </c>
      <c r="D887" t="s">
        <v>3592</v>
      </c>
      <c r="E887" t="s">
        <v>4592</v>
      </c>
      <c r="F887">
        <v>39</v>
      </c>
      <c r="G887" t="s">
        <v>5015</v>
      </c>
      <c r="H887" t="s">
        <v>5022</v>
      </c>
      <c r="I887" t="s">
        <v>5025</v>
      </c>
      <c r="J887">
        <v>136726</v>
      </c>
      <c r="K887">
        <v>99</v>
      </c>
      <c r="L887" s="7">
        <v>44990</v>
      </c>
      <c r="M887" t="s">
        <v>5030</v>
      </c>
      <c r="N887">
        <v>1</v>
      </c>
      <c r="O887">
        <v>3131</v>
      </c>
    </row>
    <row r="888" spans="1:15" x14ac:dyDescent="0.3">
      <c r="A888" t="s">
        <v>170</v>
      </c>
      <c r="B888" t="s">
        <v>1170</v>
      </c>
      <c r="C888" t="s">
        <v>2170</v>
      </c>
      <c r="D888" t="s">
        <v>3170</v>
      </c>
      <c r="E888" t="s">
        <v>4170</v>
      </c>
      <c r="F888">
        <v>42</v>
      </c>
      <c r="G888" t="s">
        <v>5017</v>
      </c>
      <c r="H888" t="s">
        <v>5021</v>
      </c>
      <c r="I888" t="s">
        <v>5023</v>
      </c>
      <c r="J888">
        <v>136861</v>
      </c>
      <c r="K888">
        <v>91</v>
      </c>
      <c r="L888" s="7">
        <v>45097</v>
      </c>
      <c r="M888" t="s">
        <v>5028</v>
      </c>
      <c r="N888">
        <v>5</v>
      </c>
      <c r="O888">
        <v>1887</v>
      </c>
    </row>
    <row r="889" spans="1:15" x14ac:dyDescent="0.3">
      <c r="A889" t="s">
        <v>496</v>
      </c>
      <c r="B889" t="s">
        <v>1496</v>
      </c>
      <c r="C889" t="s">
        <v>2496</v>
      </c>
      <c r="D889" t="s">
        <v>3496</v>
      </c>
      <c r="E889" t="s">
        <v>4496</v>
      </c>
      <c r="F889">
        <v>48</v>
      </c>
      <c r="G889" t="s">
        <v>5016</v>
      </c>
      <c r="H889" t="s">
        <v>5022</v>
      </c>
      <c r="I889" t="s">
        <v>5025</v>
      </c>
      <c r="J889">
        <v>137124</v>
      </c>
      <c r="K889">
        <v>96</v>
      </c>
      <c r="L889" s="7">
        <v>45232</v>
      </c>
      <c r="M889" t="s">
        <v>5030</v>
      </c>
      <c r="N889">
        <v>2</v>
      </c>
      <c r="O889">
        <v>3462</v>
      </c>
    </row>
    <row r="890" spans="1:15" x14ac:dyDescent="0.3">
      <c r="A890" t="s">
        <v>515</v>
      </c>
      <c r="B890" t="s">
        <v>1515</v>
      </c>
      <c r="C890" t="s">
        <v>2515</v>
      </c>
      <c r="D890" t="s">
        <v>3515</v>
      </c>
      <c r="E890" t="s">
        <v>4515</v>
      </c>
      <c r="F890">
        <v>54</v>
      </c>
      <c r="G890" t="s">
        <v>5017</v>
      </c>
      <c r="H890" t="s">
        <v>5021</v>
      </c>
      <c r="I890" t="s">
        <v>5023</v>
      </c>
      <c r="J890">
        <v>137132</v>
      </c>
      <c r="K890">
        <v>59</v>
      </c>
      <c r="L890" s="7">
        <v>45005</v>
      </c>
      <c r="M890" t="s">
        <v>5030</v>
      </c>
      <c r="N890">
        <v>4</v>
      </c>
      <c r="O890">
        <v>3303</v>
      </c>
    </row>
    <row r="891" spans="1:15" x14ac:dyDescent="0.3">
      <c r="A891" t="s">
        <v>94</v>
      </c>
      <c r="B891" t="s">
        <v>1094</v>
      </c>
      <c r="C891" t="s">
        <v>2094</v>
      </c>
      <c r="D891" t="s">
        <v>3094</v>
      </c>
      <c r="E891" t="s">
        <v>4094</v>
      </c>
      <c r="F891">
        <v>39</v>
      </c>
      <c r="G891" t="s">
        <v>5015</v>
      </c>
      <c r="H891" t="s">
        <v>5020</v>
      </c>
      <c r="I891" t="s">
        <v>5023</v>
      </c>
      <c r="J891">
        <v>137141</v>
      </c>
      <c r="K891">
        <v>46</v>
      </c>
      <c r="L891" s="7">
        <v>45240</v>
      </c>
      <c r="M891" t="s">
        <v>5030</v>
      </c>
      <c r="N891">
        <v>8</v>
      </c>
      <c r="O891">
        <v>607</v>
      </c>
    </row>
    <row r="892" spans="1:15" x14ac:dyDescent="0.3">
      <c r="A892" t="s">
        <v>167</v>
      </c>
      <c r="B892" t="s">
        <v>1167</v>
      </c>
      <c r="C892" t="s">
        <v>2167</v>
      </c>
      <c r="D892" t="s">
        <v>3167</v>
      </c>
      <c r="E892" t="s">
        <v>4167</v>
      </c>
      <c r="F892">
        <v>21</v>
      </c>
      <c r="G892" t="s">
        <v>5017</v>
      </c>
      <c r="H892" t="s">
        <v>5020</v>
      </c>
      <c r="I892" t="s">
        <v>5025</v>
      </c>
      <c r="J892">
        <v>137218</v>
      </c>
      <c r="K892">
        <v>24</v>
      </c>
      <c r="L892" s="7">
        <v>45163</v>
      </c>
      <c r="M892" t="s">
        <v>5030</v>
      </c>
      <c r="N892">
        <v>4</v>
      </c>
      <c r="O892">
        <v>4973</v>
      </c>
    </row>
    <row r="893" spans="1:15" x14ac:dyDescent="0.3">
      <c r="A893" t="s">
        <v>841</v>
      </c>
      <c r="B893" t="s">
        <v>1841</v>
      </c>
      <c r="C893" t="s">
        <v>2841</v>
      </c>
      <c r="D893" t="s">
        <v>3841</v>
      </c>
      <c r="E893" t="s">
        <v>4841</v>
      </c>
      <c r="F893">
        <v>69</v>
      </c>
      <c r="G893" t="s">
        <v>5016</v>
      </c>
      <c r="H893" t="s">
        <v>5021</v>
      </c>
      <c r="I893" t="s">
        <v>5025</v>
      </c>
      <c r="J893">
        <v>137329</v>
      </c>
      <c r="K893">
        <v>42</v>
      </c>
      <c r="L893" s="7">
        <v>45002</v>
      </c>
      <c r="M893" t="s">
        <v>5030</v>
      </c>
      <c r="N893">
        <v>4</v>
      </c>
      <c r="O893">
        <v>119</v>
      </c>
    </row>
    <row r="894" spans="1:15" x14ac:dyDescent="0.3">
      <c r="A894" t="s">
        <v>835</v>
      </c>
      <c r="B894" t="s">
        <v>1835</v>
      </c>
      <c r="C894" t="s">
        <v>2835</v>
      </c>
      <c r="D894" t="s">
        <v>3835</v>
      </c>
      <c r="E894" t="s">
        <v>4835</v>
      </c>
      <c r="F894">
        <v>24</v>
      </c>
      <c r="G894" t="s">
        <v>5016</v>
      </c>
      <c r="H894" t="s">
        <v>5018</v>
      </c>
      <c r="I894" t="s">
        <v>5025</v>
      </c>
      <c r="J894">
        <v>137680</v>
      </c>
      <c r="K894">
        <v>1</v>
      </c>
      <c r="L894" s="7">
        <v>45057</v>
      </c>
      <c r="M894" t="s">
        <v>5028</v>
      </c>
      <c r="N894">
        <v>10</v>
      </c>
      <c r="O894">
        <v>8242</v>
      </c>
    </row>
    <row r="895" spans="1:15" x14ac:dyDescent="0.3">
      <c r="A895" t="s">
        <v>118</v>
      </c>
      <c r="B895" t="s">
        <v>1118</v>
      </c>
      <c r="C895" t="s">
        <v>2118</v>
      </c>
      <c r="D895" t="s">
        <v>3118</v>
      </c>
      <c r="E895" t="s">
        <v>4118</v>
      </c>
      <c r="F895">
        <v>48</v>
      </c>
      <c r="G895" t="s">
        <v>5016</v>
      </c>
      <c r="H895" t="s">
        <v>5021</v>
      </c>
      <c r="I895" t="s">
        <v>5026</v>
      </c>
      <c r="J895">
        <v>138028</v>
      </c>
      <c r="K895">
        <v>46</v>
      </c>
      <c r="L895" s="7">
        <v>44985</v>
      </c>
      <c r="M895" t="s">
        <v>5028</v>
      </c>
      <c r="N895">
        <v>8</v>
      </c>
      <c r="O895">
        <v>8889</v>
      </c>
    </row>
    <row r="896" spans="1:15" x14ac:dyDescent="0.3">
      <c r="A896" t="s">
        <v>119</v>
      </c>
      <c r="B896" t="s">
        <v>1119</v>
      </c>
      <c r="C896" t="s">
        <v>2119</v>
      </c>
      <c r="D896" t="s">
        <v>3119</v>
      </c>
      <c r="E896" t="s">
        <v>4119</v>
      </c>
      <c r="F896">
        <v>26</v>
      </c>
      <c r="G896" t="s">
        <v>5017</v>
      </c>
      <c r="H896" t="s">
        <v>5020</v>
      </c>
      <c r="I896" t="s">
        <v>5026</v>
      </c>
      <c r="J896">
        <v>138034</v>
      </c>
      <c r="K896">
        <v>87</v>
      </c>
      <c r="L896" s="7">
        <v>45260</v>
      </c>
      <c r="M896" t="s">
        <v>5029</v>
      </c>
      <c r="N896">
        <v>7</v>
      </c>
      <c r="O896">
        <v>4851</v>
      </c>
    </row>
    <row r="897" spans="1:15" x14ac:dyDescent="0.3">
      <c r="A897" t="s">
        <v>578</v>
      </c>
      <c r="B897" t="s">
        <v>1578</v>
      </c>
      <c r="C897" t="s">
        <v>2578</v>
      </c>
      <c r="D897" t="s">
        <v>3578</v>
      </c>
      <c r="E897" t="s">
        <v>4578</v>
      </c>
      <c r="F897">
        <v>43</v>
      </c>
      <c r="G897" t="s">
        <v>5017</v>
      </c>
      <c r="H897" t="s">
        <v>5021</v>
      </c>
      <c r="I897" t="s">
        <v>5027</v>
      </c>
      <c r="J897">
        <v>138102</v>
      </c>
      <c r="K897">
        <v>16</v>
      </c>
      <c r="L897" s="7">
        <v>45077</v>
      </c>
      <c r="M897" t="s">
        <v>5028</v>
      </c>
      <c r="N897">
        <v>4</v>
      </c>
      <c r="O897">
        <v>8090</v>
      </c>
    </row>
    <row r="898" spans="1:15" x14ac:dyDescent="0.3">
      <c r="A898" t="s">
        <v>560</v>
      </c>
      <c r="B898" t="s">
        <v>1560</v>
      </c>
      <c r="C898" t="s">
        <v>2560</v>
      </c>
      <c r="D898" t="s">
        <v>3560</v>
      </c>
      <c r="E898" t="s">
        <v>4560</v>
      </c>
      <c r="F898">
        <v>23</v>
      </c>
      <c r="G898" t="s">
        <v>5016</v>
      </c>
      <c r="H898" t="s">
        <v>5021</v>
      </c>
      <c r="I898" t="s">
        <v>5026</v>
      </c>
      <c r="J898">
        <v>138317</v>
      </c>
      <c r="K898">
        <v>8</v>
      </c>
      <c r="L898" s="7">
        <v>45022</v>
      </c>
      <c r="M898" t="s">
        <v>5030</v>
      </c>
      <c r="N898">
        <v>3</v>
      </c>
      <c r="O898">
        <v>8848</v>
      </c>
    </row>
    <row r="899" spans="1:15" x14ac:dyDescent="0.3">
      <c r="A899" t="s">
        <v>603</v>
      </c>
      <c r="B899" t="s">
        <v>1603</v>
      </c>
      <c r="C899" t="s">
        <v>2603</v>
      </c>
      <c r="D899" t="s">
        <v>3603</v>
      </c>
      <c r="E899" t="s">
        <v>4603</v>
      </c>
      <c r="F899">
        <v>69</v>
      </c>
      <c r="G899" t="s">
        <v>5016</v>
      </c>
      <c r="H899" t="s">
        <v>5019</v>
      </c>
      <c r="I899" t="s">
        <v>5027</v>
      </c>
      <c r="J899">
        <v>138454</v>
      </c>
      <c r="K899">
        <v>64</v>
      </c>
      <c r="L899" s="7">
        <v>44969</v>
      </c>
      <c r="M899" t="s">
        <v>5028</v>
      </c>
      <c r="N899">
        <v>1</v>
      </c>
      <c r="O899">
        <v>1273</v>
      </c>
    </row>
    <row r="900" spans="1:15" x14ac:dyDescent="0.3">
      <c r="A900" t="s">
        <v>254</v>
      </c>
      <c r="B900" t="s">
        <v>1254</v>
      </c>
      <c r="C900" t="s">
        <v>2254</v>
      </c>
      <c r="D900" t="s">
        <v>3254</v>
      </c>
      <c r="E900" t="s">
        <v>4254</v>
      </c>
      <c r="F900">
        <v>59</v>
      </c>
      <c r="G900" t="s">
        <v>5017</v>
      </c>
      <c r="H900" t="s">
        <v>5021</v>
      </c>
      <c r="I900" t="s">
        <v>5024</v>
      </c>
      <c r="J900">
        <v>138495</v>
      </c>
      <c r="K900">
        <v>63</v>
      </c>
      <c r="L900" s="7">
        <v>45138</v>
      </c>
      <c r="M900" t="s">
        <v>5029</v>
      </c>
      <c r="N900">
        <v>2</v>
      </c>
      <c r="O900">
        <v>1119</v>
      </c>
    </row>
    <row r="901" spans="1:15" x14ac:dyDescent="0.3">
      <c r="A901" t="s">
        <v>815</v>
      </c>
      <c r="B901" t="s">
        <v>1815</v>
      </c>
      <c r="C901" t="s">
        <v>2815</v>
      </c>
      <c r="D901" t="s">
        <v>3815</v>
      </c>
      <c r="E901" t="s">
        <v>4815</v>
      </c>
      <c r="F901">
        <v>19</v>
      </c>
      <c r="G901" t="s">
        <v>5017</v>
      </c>
      <c r="H901" t="s">
        <v>5020</v>
      </c>
      <c r="I901" t="s">
        <v>5027</v>
      </c>
      <c r="J901">
        <v>138515</v>
      </c>
      <c r="K901">
        <v>19</v>
      </c>
      <c r="L901" s="7">
        <v>45273</v>
      </c>
      <c r="M901" t="s">
        <v>5028</v>
      </c>
      <c r="N901">
        <v>6</v>
      </c>
      <c r="O901">
        <v>7841</v>
      </c>
    </row>
    <row r="902" spans="1:15" x14ac:dyDescent="0.3">
      <c r="A902" t="s">
        <v>625</v>
      </c>
      <c r="B902" t="s">
        <v>1625</v>
      </c>
      <c r="C902" t="s">
        <v>2625</v>
      </c>
      <c r="D902" t="s">
        <v>3625</v>
      </c>
      <c r="E902" t="s">
        <v>4625</v>
      </c>
      <c r="F902">
        <v>21</v>
      </c>
      <c r="G902" t="s">
        <v>5017</v>
      </c>
      <c r="H902" t="s">
        <v>5019</v>
      </c>
      <c r="I902" t="s">
        <v>5024</v>
      </c>
      <c r="J902">
        <v>138559</v>
      </c>
      <c r="K902">
        <v>100</v>
      </c>
      <c r="L902" s="7">
        <v>45286</v>
      </c>
      <c r="M902" t="s">
        <v>5028</v>
      </c>
      <c r="N902">
        <v>1</v>
      </c>
      <c r="O902">
        <v>1707</v>
      </c>
    </row>
    <row r="903" spans="1:15" x14ac:dyDescent="0.3">
      <c r="A903" t="s">
        <v>669</v>
      </c>
      <c r="B903" t="s">
        <v>1669</v>
      </c>
      <c r="C903" t="s">
        <v>2669</v>
      </c>
      <c r="D903" t="s">
        <v>3669</v>
      </c>
      <c r="E903" t="s">
        <v>4669</v>
      </c>
      <c r="F903">
        <v>66</v>
      </c>
      <c r="G903" t="s">
        <v>5015</v>
      </c>
      <c r="H903" t="s">
        <v>5020</v>
      </c>
      <c r="I903" t="s">
        <v>5023</v>
      </c>
      <c r="J903">
        <v>138706</v>
      </c>
      <c r="K903">
        <v>32</v>
      </c>
      <c r="L903" s="7">
        <v>44998</v>
      </c>
      <c r="M903" t="s">
        <v>5029</v>
      </c>
      <c r="N903">
        <v>8</v>
      </c>
      <c r="O903">
        <v>3922</v>
      </c>
    </row>
    <row r="904" spans="1:15" x14ac:dyDescent="0.3">
      <c r="A904" t="s">
        <v>268</v>
      </c>
      <c r="B904" t="s">
        <v>1268</v>
      </c>
      <c r="C904" t="s">
        <v>2268</v>
      </c>
      <c r="D904" t="s">
        <v>3268</v>
      </c>
      <c r="E904" t="s">
        <v>4268</v>
      </c>
      <c r="F904">
        <v>66</v>
      </c>
      <c r="G904" t="s">
        <v>5017</v>
      </c>
      <c r="H904" t="s">
        <v>5019</v>
      </c>
      <c r="I904" t="s">
        <v>5023</v>
      </c>
      <c r="J904">
        <v>138756</v>
      </c>
      <c r="K904">
        <v>3</v>
      </c>
      <c r="L904" s="7">
        <v>45118</v>
      </c>
      <c r="M904" t="s">
        <v>5029</v>
      </c>
      <c r="N904">
        <v>3</v>
      </c>
      <c r="O904">
        <v>2577</v>
      </c>
    </row>
    <row r="905" spans="1:15" x14ac:dyDescent="0.3">
      <c r="A905" t="s">
        <v>25</v>
      </c>
      <c r="B905" t="s">
        <v>1025</v>
      </c>
      <c r="C905" t="s">
        <v>2025</v>
      </c>
      <c r="D905" t="s">
        <v>3025</v>
      </c>
      <c r="E905" t="s">
        <v>4025</v>
      </c>
      <c r="F905">
        <v>70</v>
      </c>
      <c r="G905" t="s">
        <v>5016</v>
      </c>
      <c r="H905" t="s">
        <v>5022</v>
      </c>
      <c r="I905" t="s">
        <v>5026</v>
      </c>
      <c r="J905">
        <v>138866</v>
      </c>
      <c r="K905">
        <v>78</v>
      </c>
      <c r="L905" s="7">
        <v>45102</v>
      </c>
      <c r="M905" t="s">
        <v>5028</v>
      </c>
      <c r="N905">
        <v>5</v>
      </c>
      <c r="O905">
        <v>7682</v>
      </c>
    </row>
    <row r="906" spans="1:15" x14ac:dyDescent="0.3">
      <c r="A906" t="s">
        <v>221</v>
      </c>
      <c r="B906" t="s">
        <v>1221</v>
      </c>
      <c r="C906" t="s">
        <v>2221</v>
      </c>
      <c r="D906" t="s">
        <v>3221</v>
      </c>
      <c r="E906" t="s">
        <v>4221</v>
      </c>
      <c r="F906">
        <v>70</v>
      </c>
      <c r="G906" t="s">
        <v>5016</v>
      </c>
      <c r="H906" t="s">
        <v>5022</v>
      </c>
      <c r="I906" t="s">
        <v>5023</v>
      </c>
      <c r="J906">
        <v>138976</v>
      </c>
      <c r="K906">
        <v>64</v>
      </c>
      <c r="L906" s="7">
        <v>45130</v>
      </c>
      <c r="M906" t="s">
        <v>5028</v>
      </c>
      <c r="N906">
        <v>2</v>
      </c>
      <c r="O906">
        <v>4172</v>
      </c>
    </row>
    <row r="907" spans="1:15" x14ac:dyDescent="0.3">
      <c r="A907" t="s">
        <v>883</v>
      </c>
      <c r="B907" t="s">
        <v>1883</v>
      </c>
      <c r="C907" t="s">
        <v>2883</v>
      </c>
      <c r="D907" t="s">
        <v>3883</v>
      </c>
      <c r="E907" t="s">
        <v>4883</v>
      </c>
      <c r="F907">
        <v>37</v>
      </c>
      <c r="G907" t="s">
        <v>5016</v>
      </c>
      <c r="H907" t="s">
        <v>5021</v>
      </c>
      <c r="I907" t="s">
        <v>5025</v>
      </c>
      <c r="J907">
        <v>139010</v>
      </c>
      <c r="K907">
        <v>74</v>
      </c>
      <c r="L907" s="7">
        <v>45031</v>
      </c>
      <c r="M907" t="s">
        <v>5030</v>
      </c>
      <c r="N907">
        <v>2</v>
      </c>
      <c r="O907">
        <v>3317</v>
      </c>
    </row>
    <row r="908" spans="1:15" x14ac:dyDescent="0.3">
      <c r="A908" t="s">
        <v>1000</v>
      </c>
      <c r="B908" t="s">
        <v>2000</v>
      </c>
      <c r="C908" t="s">
        <v>3000</v>
      </c>
      <c r="D908" t="s">
        <v>4000</v>
      </c>
      <c r="E908" t="s">
        <v>5000</v>
      </c>
      <c r="F908">
        <v>45</v>
      </c>
      <c r="G908" t="s">
        <v>5016</v>
      </c>
      <c r="H908" t="s">
        <v>5020</v>
      </c>
      <c r="I908" t="s">
        <v>5025</v>
      </c>
      <c r="J908">
        <v>139177</v>
      </c>
      <c r="K908">
        <v>45</v>
      </c>
      <c r="L908" s="7">
        <v>44994</v>
      </c>
      <c r="M908" t="s">
        <v>5028</v>
      </c>
      <c r="N908">
        <v>10</v>
      </c>
      <c r="O908">
        <v>6960</v>
      </c>
    </row>
    <row r="909" spans="1:15" x14ac:dyDescent="0.3">
      <c r="A909" t="s">
        <v>696</v>
      </c>
      <c r="B909" t="s">
        <v>1696</v>
      </c>
      <c r="C909" t="s">
        <v>2696</v>
      </c>
      <c r="D909" t="s">
        <v>3696</v>
      </c>
      <c r="E909" t="s">
        <v>4696</v>
      </c>
      <c r="F909">
        <v>44</v>
      </c>
      <c r="G909" t="s">
        <v>5017</v>
      </c>
      <c r="H909" t="s">
        <v>5021</v>
      </c>
      <c r="I909" t="s">
        <v>5025</v>
      </c>
      <c r="J909">
        <v>139352</v>
      </c>
      <c r="K909">
        <v>25</v>
      </c>
      <c r="L909" s="7">
        <v>45072</v>
      </c>
      <c r="M909" t="s">
        <v>5030</v>
      </c>
      <c r="N909">
        <v>1</v>
      </c>
      <c r="O909">
        <v>3761</v>
      </c>
    </row>
    <row r="910" spans="1:15" x14ac:dyDescent="0.3">
      <c r="A910" t="s">
        <v>990</v>
      </c>
      <c r="B910" t="s">
        <v>1990</v>
      </c>
      <c r="C910" t="s">
        <v>2990</v>
      </c>
      <c r="D910" t="s">
        <v>3990</v>
      </c>
      <c r="E910" t="s">
        <v>4990</v>
      </c>
      <c r="F910">
        <v>57</v>
      </c>
      <c r="G910" t="s">
        <v>5017</v>
      </c>
      <c r="H910" t="s">
        <v>5018</v>
      </c>
      <c r="I910" t="s">
        <v>5023</v>
      </c>
      <c r="J910">
        <v>139719</v>
      </c>
      <c r="K910">
        <v>69</v>
      </c>
      <c r="L910" s="7">
        <v>45160</v>
      </c>
      <c r="M910" t="s">
        <v>5030</v>
      </c>
      <c r="N910">
        <v>2</v>
      </c>
      <c r="O910">
        <v>8842</v>
      </c>
    </row>
    <row r="911" spans="1:15" x14ac:dyDescent="0.3">
      <c r="A911" t="s">
        <v>401</v>
      </c>
      <c r="B911" t="s">
        <v>1401</v>
      </c>
      <c r="C911" t="s">
        <v>2401</v>
      </c>
      <c r="D911" t="s">
        <v>3401</v>
      </c>
      <c r="E911" t="s">
        <v>4401</v>
      </c>
      <c r="F911">
        <v>32</v>
      </c>
      <c r="G911" t="s">
        <v>5017</v>
      </c>
      <c r="H911" t="s">
        <v>5021</v>
      </c>
      <c r="I911" t="s">
        <v>5025</v>
      </c>
      <c r="J911">
        <v>139769</v>
      </c>
      <c r="K911">
        <v>68</v>
      </c>
      <c r="L911" s="7">
        <v>45213</v>
      </c>
      <c r="M911" t="s">
        <v>5030</v>
      </c>
      <c r="N911">
        <v>7</v>
      </c>
      <c r="O911">
        <v>1882</v>
      </c>
    </row>
    <row r="912" spans="1:15" x14ac:dyDescent="0.3">
      <c r="A912" t="s">
        <v>520</v>
      </c>
      <c r="B912" t="s">
        <v>1520</v>
      </c>
      <c r="C912" t="s">
        <v>2520</v>
      </c>
      <c r="D912" t="s">
        <v>3520</v>
      </c>
      <c r="E912" t="s">
        <v>4520</v>
      </c>
      <c r="F912">
        <v>60</v>
      </c>
      <c r="G912" t="s">
        <v>5015</v>
      </c>
      <c r="H912" t="s">
        <v>5018</v>
      </c>
      <c r="I912" t="s">
        <v>5025</v>
      </c>
      <c r="J912">
        <v>139863</v>
      </c>
      <c r="K912">
        <v>31</v>
      </c>
      <c r="L912" s="7">
        <v>45256</v>
      </c>
      <c r="M912" t="s">
        <v>5028</v>
      </c>
      <c r="N912">
        <v>7</v>
      </c>
      <c r="O912">
        <v>2600</v>
      </c>
    </row>
    <row r="913" spans="1:15" x14ac:dyDescent="0.3">
      <c r="A913" t="s">
        <v>475</v>
      </c>
      <c r="B913" t="s">
        <v>1475</v>
      </c>
      <c r="C913" t="s">
        <v>2475</v>
      </c>
      <c r="D913" t="s">
        <v>3475</v>
      </c>
      <c r="E913" t="s">
        <v>4475</v>
      </c>
      <c r="F913">
        <v>22</v>
      </c>
      <c r="G913" t="s">
        <v>5015</v>
      </c>
      <c r="H913" t="s">
        <v>5020</v>
      </c>
      <c r="I913" t="s">
        <v>5024</v>
      </c>
      <c r="J913">
        <v>139878</v>
      </c>
      <c r="K913">
        <v>56</v>
      </c>
      <c r="L913" s="7">
        <v>45073</v>
      </c>
      <c r="M913" t="s">
        <v>5030</v>
      </c>
      <c r="N913">
        <v>5</v>
      </c>
      <c r="O913">
        <v>5735</v>
      </c>
    </row>
    <row r="914" spans="1:15" x14ac:dyDescent="0.3">
      <c r="A914" t="s">
        <v>67</v>
      </c>
      <c r="B914" t="s">
        <v>1067</v>
      </c>
      <c r="C914" t="s">
        <v>2067</v>
      </c>
      <c r="D914" t="s">
        <v>3067</v>
      </c>
      <c r="E914" t="s">
        <v>4067</v>
      </c>
      <c r="F914">
        <v>59</v>
      </c>
      <c r="G914" t="s">
        <v>5015</v>
      </c>
      <c r="H914" t="s">
        <v>5022</v>
      </c>
      <c r="I914" t="s">
        <v>5027</v>
      </c>
      <c r="J914">
        <v>140000</v>
      </c>
      <c r="K914">
        <v>69</v>
      </c>
      <c r="L914" s="7">
        <v>45016</v>
      </c>
      <c r="M914" t="s">
        <v>5029</v>
      </c>
      <c r="N914">
        <v>5</v>
      </c>
      <c r="O914">
        <v>4879</v>
      </c>
    </row>
    <row r="915" spans="1:15" x14ac:dyDescent="0.3">
      <c r="A915" t="s">
        <v>65</v>
      </c>
      <c r="B915" t="s">
        <v>1065</v>
      </c>
      <c r="C915" t="s">
        <v>2065</v>
      </c>
      <c r="D915" t="s">
        <v>3065</v>
      </c>
      <c r="E915" t="s">
        <v>4065</v>
      </c>
      <c r="F915">
        <v>22</v>
      </c>
      <c r="G915" t="s">
        <v>5016</v>
      </c>
      <c r="H915" t="s">
        <v>5018</v>
      </c>
      <c r="I915" t="s">
        <v>5026</v>
      </c>
      <c r="J915">
        <v>140085</v>
      </c>
      <c r="K915">
        <v>11</v>
      </c>
      <c r="L915" s="7">
        <v>45076</v>
      </c>
      <c r="M915" t="s">
        <v>5029</v>
      </c>
      <c r="N915">
        <v>8</v>
      </c>
      <c r="O915">
        <v>8278</v>
      </c>
    </row>
    <row r="916" spans="1:15" x14ac:dyDescent="0.3">
      <c r="A916" t="s">
        <v>314</v>
      </c>
      <c r="B916" t="s">
        <v>1314</v>
      </c>
      <c r="C916" t="s">
        <v>2314</v>
      </c>
      <c r="D916" t="s">
        <v>3314</v>
      </c>
      <c r="E916" t="s">
        <v>4314</v>
      </c>
      <c r="F916">
        <v>35</v>
      </c>
      <c r="G916" t="s">
        <v>5016</v>
      </c>
      <c r="H916" t="s">
        <v>5022</v>
      </c>
      <c r="I916" t="s">
        <v>5027</v>
      </c>
      <c r="J916">
        <v>140166</v>
      </c>
      <c r="K916">
        <v>2</v>
      </c>
      <c r="L916" s="7">
        <v>45060</v>
      </c>
      <c r="M916" t="s">
        <v>5030</v>
      </c>
      <c r="N916">
        <v>10</v>
      </c>
      <c r="O916">
        <v>7894</v>
      </c>
    </row>
    <row r="917" spans="1:15" x14ac:dyDescent="0.3">
      <c r="A917" t="s">
        <v>812</v>
      </c>
      <c r="B917" t="s">
        <v>1812</v>
      </c>
      <c r="C917" t="s">
        <v>2812</v>
      </c>
      <c r="D917" t="s">
        <v>3812</v>
      </c>
      <c r="E917" t="s">
        <v>4812</v>
      </c>
      <c r="F917">
        <v>62</v>
      </c>
      <c r="G917" t="s">
        <v>5015</v>
      </c>
      <c r="H917" t="s">
        <v>5020</v>
      </c>
      <c r="I917" t="s">
        <v>5026</v>
      </c>
      <c r="J917">
        <v>140186</v>
      </c>
      <c r="K917">
        <v>55</v>
      </c>
      <c r="L917" s="7">
        <v>44990</v>
      </c>
      <c r="M917" t="s">
        <v>5028</v>
      </c>
      <c r="N917">
        <v>4</v>
      </c>
      <c r="O917">
        <v>5824</v>
      </c>
    </row>
    <row r="918" spans="1:15" x14ac:dyDescent="0.3">
      <c r="A918" t="s">
        <v>333</v>
      </c>
      <c r="B918" t="s">
        <v>1333</v>
      </c>
      <c r="C918" t="s">
        <v>2333</v>
      </c>
      <c r="D918" t="s">
        <v>3333</v>
      </c>
      <c r="E918" t="s">
        <v>4333</v>
      </c>
      <c r="F918">
        <v>36</v>
      </c>
      <c r="G918" t="s">
        <v>5016</v>
      </c>
      <c r="H918" t="s">
        <v>5018</v>
      </c>
      <c r="I918" t="s">
        <v>5026</v>
      </c>
      <c r="J918">
        <v>140297</v>
      </c>
      <c r="K918">
        <v>77</v>
      </c>
      <c r="L918" s="7">
        <v>44997</v>
      </c>
      <c r="M918" t="s">
        <v>5030</v>
      </c>
      <c r="N918">
        <v>9</v>
      </c>
      <c r="O918">
        <v>2354</v>
      </c>
    </row>
    <row r="919" spans="1:15" x14ac:dyDescent="0.3">
      <c r="A919" t="s">
        <v>797</v>
      </c>
      <c r="B919" t="s">
        <v>1797</v>
      </c>
      <c r="C919" t="s">
        <v>2797</v>
      </c>
      <c r="D919" t="s">
        <v>3797</v>
      </c>
      <c r="E919" t="s">
        <v>4797</v>
      </c>
      <c r="F919">
        <v>21</v>
      </c>
      <c r="G919" t="s">
        <v>5015</v>
      </c>
      <c r="H919" t="s">
        <v>5020</v>
      </c>
      <c r="I919" t="s">
        <v>5025</v>
      </c>
      <c r="J919">
        <v>140348</v>
      </c>
      <c r="K919">
        <v>19</v>
      </c>
      <c r="L919" s="7">
        <v>44970</v>
      </c>
      <c r="M919" t="s">
        <v>5028</v>
      </c>
      <c r="N919">
        <v>6</v>
      </c>
      <c r="O919">
        <v>8265</v>
      </c>
    </row>
    <row r="920" spans="1:15" x14ac:dyDescent="0.3">
      <c r="A920" t="s">
        <v>960</v>
      </c>
      <c r="B920" t="s">
        <v>1960</v>
      </c>
      <c r="C920" t="s">
        <v>2960</v>
      </c>
      <c r="D920" t="s">
        <v>3960</v>
      </c>
      <c r="E920" t="s">
        <v>4960</v>
      </c>
      <c r="F920">
        <v>49</v>
      </c>
      <c r="G920" t="s">
        <v>5016</v>
      </c>
      <c r="H920" t="s">
        <v>5020</v>
      </c>
      <c r="I920" t="s">
        <v>5027</v>
      </c>
      <c r="J920">
        <v>140363</v>
      </c>
      <c r="K920">
        <v>33</v>
      </c>
      <c r="L920" s="7">
        <v>45135</v>
      </c>
      <c r="M920" t="s">
        <v>5029</v>
      </c>
      <c r="N920">
        <v>8</v>
      </c>
      <c r="O920">
        <v>8224</v>
      </c>
    </row>
    <row r="921" spans="1:15" x14ac:dyDescent="0.3">
      <c r="A921" t="s">
        <v>366</v>
      </c>
      <c r="B921" t="s">
        <v>1366</v>
      </c>
      <c r="C921" t="s">
        <v>2366</v>
      </c>
      <c r="D921" t="s">
        <v>3366</v>
      </c>
      <c r="E921" t="s">
        <v>4366</v>
      </c>
      <c r="F921">
        <v>37</v>
      </c>
      <c r="G921" t="s">
        <v>5017</v>
      </c>
      <c r="H921" t="s">
        <v>5020</v>
      </c>
      <c r="I921" t="s">
        <v>5025</v>
      </c>
      <c r="J921">
        <v>140539</v>
      </c>
      <c r="K921">
        <v>77</v>
      </c>
      <c r="L921" s="7">
        <v>44987</v>
      </c>
      <c r="M921" t="s">
        <v>5030</v>
      </c>
      <c r="N921">
        <v>1</v>
      </c>
      <c r="O921">
        <v>8286</v>
      </c>
    </row>
    <row r="922" spans="1:15" x14ac:dyDescent="0.3">
      <c r="A922" t="s">
        <v>913</v>
      </c>
      <c r="B922" t="s">
        <v>1913</v>
      </c>
      <c r="C922" t="s">
        <v>2913</v>
      </c>
      <c r="D922" t="s">
        <v>3913</v>
      </c>
      <c r="E922" t="s">
        <v>4913</v>
      </c>
      <c r="F922">
        <v>31</v>
      </c>
      <c r="G922" t="s">
        <v>5015</v>
      </c>
      <c r="H922" t="s">
        <v>5018</v>
      </c>
      <c r="I922" t="s">
        <v>5025</v>
      </c>
      <c r="J922">
        <v>140601</v>
      </c>
      <c r="K922">
        <v>62</v>
      </c>
      <c r="L922" s="7">
        <v>44994</v>
      </c>
      <c r="M922" t="s">
        <v>5030</v>
      </c>
      <c r="N922">
        <v>1</v>
      </c>
      <c r="O922">
        <v>6878</v>
      </c>
    </row>
    <row r="923" spans="1:15" x14ac:dyDescent="0.3">
      <c r="A923" t="s">
        <v>811</v>
      </c>
      <c r="B923" t="s">
        <v>1811</v>
      </c>
      <c r="C923" t="s">
        <v>2811</v>
      </c>
      <c r="D923" t="s">
        <v>3811</v>
      </c>
      <c r="E923" t="s">
        <v>4811</v>
      </c>
      <c r="F923">
        <v>64</v>
      </c>
      <c r="G923" t="s">
        <v>5015</v>
      </c>
      <c r="H923" t="s">
        <v>5019</v>
      </c>
      <c r="I923" t="s">
        <v>5026</v>
      </c>
      <c r="J923">
        <v>140720</v>
      </c>
      <c r="K923">
        <v>50</v>
      </c>
      <c r="L923" s="7">
        <v>45207</v>
      </c>
      <c r="M923" t="s">
        <v>5030</v>
      </c>
      <c r="N923">
        <v>8</v>
      </c>
      <c r="O923">
        <v>5953</v>
      </c>
    </row>
    <row r="924" spans="1:15" x14ac:dyDescent="0.3">
      <c r="A924" t="s">
        <v>928</v>
      </c>
      <c r="B924" t="s">
        <v>1928</v>
      </c>
      <c r="C924" t="s">
        <v>2928</v>
      </c>
      <c r="D924" t="s">
        <v>3928</v>
      </c>
      <c r="E924" t="s">
        <v>4928</v>
      </c>
      <c r="F924">
        <v>26</v>
      </c>
      <c r="G924" t="s">
        <v>5017</v>
      </c>
      <c r="H924" t="s">
        <v>5021</v>
      </c>
      <c r="I924" t="s">
        <v>5026</v>
      </c>
      <c r="J924">
        <v>140721</v>
      </c>
      <c r="K924">
        <v>47</v>
      </c>
      <c r="L924" s="7">
        <v>45205</v>
      </c>
      <c r="M924" t="s">
        <v>5028</v>
      </c>
      <c r="N924">
        <v>1</v>
      </c>
      <c r="O924">
        <v>2643</v>
      </c>
    </row>
    <row r="925" spans="1:15" x14ac:dyDescent="0.3">
      <c r="A925" t="s">
        <v>599</v>
      </c>
      <c r="B925" t="s">
        <v>1599</v>
      </c>
      <c r="C925" t="s">
        <v>2599</v>
      </c>
      <c r="D925" t="s">
        <v>3599</v>
      </c>
      <c r="E925" t="s">
        <v>4599</v>
      </c>
      <c r="F925">
        <v>27</v>
      </c>
      <c r="G925" t="s">
        <v>5015</v>
      </c>
      <c r="H925" t="s">
        <v>5019</v>
      </c>
      <c r="I925" t="s">
        <v>5027</v>
      </c>
      <c r="J925">
        <v>140808</v>
      </c>
      <c r="K925">
        <v>82</v>
      </c>
      <c r="L925" s="7">
        <v>45186</v>
      </c>
      <c r="M925" t="s">
        <v>5030</v>
      </c>
      <c r="N925">
        <v>9</v>
      </c>
      <c r="O925">
        <v>8744</v>
      </c>
    </row>
    <row r="926" spans="1:15" x14ac:dyDescent="0.3">
      <c r="A926" t="s">
        <v>985</v>
      </c>
      <c r="B926" t="s">
        <v>1985</v>
      </c>
      <c r="C926" t="s">
        <v>2985</v>
      </c>
      <c r="D926" t="s">
        <v>3985</v>
      </c>
      <c r="E926" t="s">
        <v>4985</v>
      </c>
      <c r="F926">
        <v>24</v>
      </c>
      <c r="G926" t="s">
        <v>5015</v>
      </c>
      <c r="H926" t="s">
        <v>5019</v>
      </c>
      <c r="I926" t="s">
        <v>5027</v>
      </c>
      <c r="J926">
        <v>140893</v>
      </c>
      <c r="K926">
        <v>8</v>
      </c>
      <c r="L926" s="7">
        <v>45111</v>
      </c>
      <c r="M926" t="s">
        <v>5029</v>
      </c>
      <c r="N926">
        <v>6</v>
      </c>
      <c r="O926">
        <v>6582</v>
      </c>
    </row>
    <row r="927" spans="1:15" x14ac:dyDescent="0.3">
      <c r="A927" t="s">
        <v>1001</v>
      </c>
      <c r="B927" t="s">
        <v>2001</v>
      </c>
      <c r="C927" t="s">
        <v>3001</v>
      </c>
      <c r="D927" t="s">
        <v>4001</v>
      </c>
      <c r="E927" t="s">
        <v>5001</v>
      </c>
      <c r="F927">
        <v>55</v>
      </c>
      <c r="G927" t="s">
        <v>5016</v>
      </c>
      <c r="H927" t="s">
        <v>5022</v>
      </c>
      <c r="I927" t="s">
        <v>5027</v>
      </c>
      <c r="J927">
        <v>141013</v>
      </c>
      <c r="K927">
        <v>63</v>
      </c>
      <c r="L927" s="7">
        <v>45227</v>
      </c>
      <c r="M927" t="s">
        <v>5028</v>
      </c>
      <c r="N927">
        <v>9</v>
      </c>
      <c r="O927">
        <v>7980</v>
      </c>
    </row>
    <row r="928" spans="1:15" x14ac:dyDescent="0.3">
      <c r="A928" t="s">
        <v>837</v>
      </c>
      <c r="B928" t="s">
        <v>1837</v>
      </c>
      <c r="C928" t="s">
        <v>2837</v>
      </c>
      <c r="D928" t="s">
        <v>3837</v>
      </c>
      <c r="E928" t="s">
        <v>4837</v>
      </c>
      <c r="F928">
        <v>52</v>
      </c>
      <c r="G928" t="s">
        <v>5016</v>
      </c>
      <c r="H928" t="s">
        <v>5020</v>
      </c>
      <c r="I928" t="s">
        <v>5027</v>
      </c>
      <c r="J928">
        <v>141019</v>
      </c>
      <c r="K928">
        <v>16</v>
      </c>
      <c r="L928" s="7">
        <v>45090</v>
      </c>
      <c r="M928" t="s">
        <v>5029</v>
      </c>
      <c r="N928">
        <v>3</v>
      </c>
      <c r="O928">
        <v>1461</v>
      </c>
    </row>
    <row r="929" spans="1:15" x14ac:dyDescent="0.3">
      <c r="A929" t="s">
        <v>764</v>
      </c>
      <c r="B929" t="s">
        <v>1764</v>
      </c>
      <c r="C929" t="s">
        <v>2764</v>
      </c>
      <c r="D929" t="s">
        <v>3764</v>
      </c>
      <c r="E929" t="s">
        <v>4764</v>
      </c>
      <c r="F929">
        <v>52</v>
      </c>
      <c r="G929" t="s">
        <v>5016</v>
      </c>
      <c r="H929" t="s">
        <v>5021</v>
      </c>
      <c r="I929" t="s">
        <v>5027</v>
      </c>
      <c r="J929">
        <v>141116</v>
      </c>
      <c r="K929">
        <v>5</v>
      </c>
      <c r="L929" s="7">
        <v>45036</v>
      </c>
      <c r="M929" t="s">
        <v>5028</v>
      </c>
      <c r="N929">
        <v>9</v>
      </c>
      <c r="O929">
        <v>1147</v>
      </c>
    </row>
    <row r="930" spans="1:15" x14ac:dyDescent="0.3">
      <c r="A930" t="s">
        <v>106</v>
      </c>
      <c r="B930" t="s">
        <v>1106</v>
      </c>
      <c r="C930" t="s">
        <v>2106</v>
      </c>
      <c r="D930" t="s">
        <v>3106</v>
      </c>
      <c r="E930" t="s">
        <v>4106</v>
      </c>
      <c r="F930">
        <v>53</v>
      </c>
      <c r="G930" t="s">
        <v>5015</v>
      </c>
      <c r="H930" t="s">
        <v>5020</v>
      </c>
      <c r="I930" t="s">
        <v>5024</v>
      </c>
      <c r="J930">
        <v>141438</v>
      </c>
      <c r="K930">
        <v>99</v>
      </c>
      <c r="L930" s="7">
        <v>45286</v>
      </c>
      <c r="M930" t="s">
        <v>5030</v>
      </c>
      <c r="N930">
        <v>6</v>
      </c>
      <c r="O930">
        <v>6741</v>
      </c>
    </row>
    <row r="931" spans="1:15" x14ac:dyDescent="0.3">
      <c r="A931" t="s">
        <v>721</v>
      </c>
      <c r="B931" t="s">
        <v>1721</v>
      </c>
      <c r="C931" t="s">
        <v>2721</v>
      </c>
      <c r="D931" t="s">
        <v>3721</v>
      </c>
      <c r="E931" t="s">
        <v>4721</v>
      </c>
      <c r="F931">
        <v>34</v>
      </c>
      <c r="G931" t="s">
        <v>5017</v>
      </c>
      <c r="H931" t="s">
        <v>5018</v>
      </c>
      <c r="I931" t="s">
        <v>5026</v>
      </c>
      <c r="J931">
        <v>141465</v>
      </c>
      <c r="K931">
        <v>9</v>
      </c>
      <c r="L931" s="7">
        <v>45231</v>
      </c>
      <c r="M931" t="s">
        <v>5028</v>
      </c>
      <c r="N931">
        <v>10</v>
      </c>
      <c r="O931">
        <v>9636</v>
      </c>
    </row>
    <row r="932" spans="1:15" x14ac:dyDescent="0.3">
      <c r="A932" t="s">
        <v>693</v>
      </c>
      <c r="B932" t="s">
        <v>1693</v>
      </c>
      <c r="C932" t="s">
        <v>2693</v>
      </c>
      <c r="D932" t="s">
        <v>3693</v>
      </c>
      <c r="E932" t="s">
        <v>4693</v>
      </c>
      <c r="F932">
        <v>55</v>
      </c>
      <c r="G932" t="s">
        <v>5016</v>
      </c>
      <c r="H932" t="s">
        <v>5020</v>
      </c>
      <c r="I932" t="s">
        <v>5026</v>
      </c>
      <c r="J932">
        <v>141485</v>
      </c>
      <c r="K932">
        <v>31</v>
      </c>
      <c r="L932" s="7">
        <v>45168</v>
      </c>
      <c r="M932" t="s">
        <v>5028</v>
      </c>
      <c r="N932">
        <v>10</v>
      </c>
      <c r="O932">
        <v>9669</v>
      </c>
    </row>
    <row r="933" spans="1:15" x14ac:dyDescent="0.3">
      <c r="A933" t="s">
        <v>942</v>
      </c>
      <c r="B933" t="s">
        <v>1942</v>
      </c>
      <c r="C933" t="s">
        <v>2942</v>
      </c>
      <c r="D933" t="s">
        <v>3942</v>
      </c>
      <c r="E933" t="s">
        <v>4942</v>
      </c>
      <c r="F933">
        <v>62</v>
      </c>
      <c r="G933" t="s">
        <v>5016</v>
      </c>
      <c r="H933" t="s">
        <v>5019</v>
      </c>
      <c r="I933" t="s">
        <v>5024</v>
      </c>
      <c r="J933">
        <v>141547</v>
      </c>
      <c r="K933">
        <v>14</v>
      </c>
      <c r="L933" s="7">
        <v>44960</v>
      </c>
      <c r="M933" t="s">
        <v>5028</v>
      </c>
      <c r="N933">
        <v>6</v>
      </c>
      <c r="O933">
        <v>959</v>
      </c>
    </row>
    <row r="934" spans="1:15" x14ac:dyDescent="0.3">
      <c r="A934" t="s">
        <v>222</v>
      </c>
      <c r="B934" t="s">
        <v>1222</v>
      </c>
      <c r="C934" t="s">
        <v>2222</v>
      </c>
      <c r="D934" t="s">
        <v>3222</v>
      </c>
      <c r="E934" t="s">
        <v>4222</v>
      </c>
      <c r="F934">
        <v>18</v>
      </c>
      <c r="G934" t="s">
        <v>5017</v>
      </c>
      <c r="H934" t="s">
        <v>5019</v>
      </c>
      <c r="I934" t="s">
        <v>5027</v>
      </c>
      <c r="J934">
        <v>141635</v>
      </c>
      <c r="K934">
        <v>89</v>
      </c>
      <c r="L934" s="7">
        <v>45160</v>
      </c>
      <c r="M934" t="s">
        <v>5028</v>
      </c>
      <c r="N934">
        <v>1</v>
      </c>
      <c r="O934">
        <v>7192</v>
      </c>
    </row>
    <row r="935" spans="1:15" x14ac:dyDescent="0.3">
      <c r="A935" t="s">
        <v>909</v>
      </c>
      <c r="B935" t="s">
        <v>1909</v>
      </c>
      <c r="C935" t="s">
        <v>2909</v>
      </c>
      <c r="D935" t="s">
        <v>3909</v>
      </c>
      <c r="E935" t="s">
        <v>4909</v>
      </c>
      <c r="F935">
        <v>33</v>
      </c>
      <c r="G935" t="s">
        <v>5015</v>
      </c>
      <c r="H935" t="s">
        <v>5019</v>
      </c>
      <c r="I935" t="s">
        <v>5027</v>
      </c>
      <c r="J935">
        <v>141838</v>
      </c>
      <c r="K935">
        <v>75</v>
      </c>
      <c r="L935" s="7">
        <v>45122</v>
      </c>
      <c r="M935" t="s">
        <v>5030</v>
      </c>
      <c r="N935">
        <v>8</v>
      </c>
      <c r="O935">
        <v>6128</v>
      </c>
    </row>
    <row r="936" spans="1:15" x14ac:dyDescent="0.3">
      <c r="A936" t="s">
        <v>327</v>
      </c>
      <c r="B936" t="s">
        <v>1327</v>
      </c>
      <c r="C936" t="s">
        <v>2327</v>
      </c>
      <c r="D936" t="s">
        <v>3327</v>
      </c>
      <c r="E936" t="s">
        <v>4327</v>
      </c>
      <c r="F936">
        <v>53</v>
      </c>
      <c r="G936" t="s">
        <v>5015</v>
      </c>
      <c r="H936" t="s">
        <v>5020</v>
      </c>
      <c r="I936" t="s">
        <v>5025</v>
      </c>
      <c r="J936">
        <v>141843</v>
      </c>
      <c r="K936">
        <v>47</v>
      </c>
      <c r="L936" s="7">
        <v>45143</v>
      </c>
      <c r="M936" t="s">
        <v>5030</v>
      </c>
      <c r="N936">
        <v>10</v>
      </c>
      <c r="O936">
        <v>642</v>
      </c>
    </row>
    <row r="937" spans="1:15" x14ac:dyDescent="0.3">
      <c r="A937" t="s">
        <v>437</v>
      </c>
      <c r="B937" t="s">
        <v>1437</v>
      </c>
      <c r="C937" t="s">
        <v>2437</v>
      </c>
      <c r="D937" t="s">
        <v>3437</v>
      </c>
      <c r="E937" t="s">
        <v>4437</v>
      </c>
      <c r="F937">
        <v>54</v>
      </c>
      <c r="G937" t="s">
        <v>5015</v>
      </c>
      <c r="H937" t="s">
        <v>5020</v>
      </c>
      <c r="I937" t="s">
        <v>5023</v>
      </c>
      <c r="J937">
        <v>142010</v>
      </c>
      <c r="K937">
        <v>30</v>
      </c>
      <c r="L937" s="7">
        <v>44936</v>
      </c>
      <c r="M937" t="s">
        <v>5028</v>
      </c>
      <c r="N937">
        <v>10</v>
      </c>
      <c r="O937">
        <v>3908</v>
      </c>
    </row>
    <row r="938" spans="1:15" x14ac:dyDescent="0.3">
      <c r="A938" t="s">
        <v>391</v>
      </c>
      <c r="B938" t="s">
        <v>1391</v>
      </c>
      <c r="C938" t="s">
        <v>2391</v>
      </c>
      <c r="D938" t="s">
        <v>3391</v>
      </c>
      <c r="E938" t="s">
        <v>4391</v>
      </c>
      <c r="F938">
        <v>42</v>
      </c>
      <c r="G938" t="s">
        <v>5016</v>
      </c>
      <c r="H938" t="s">
        <v>5019</v>
      </c>
      <c r="I938" t="s">
        <v>5025</v>
      </c>
      <c r="J938">
        <v>142144</v>
      </c>
      <c r="K938">
        <v>84</v>
      </c>
      <c r="L938" s="7">
        <v>44964</v>
      </c>
      <c r="M938" t="s">
        <v>5029</v>
      </c>
      <c r="N938">
        <v>1</v>
      </c>
      <c r="O938">
        <v>6274</v>
      </c>
    </row>
    <row r="939" spans="1:15" x14ac:dyDescent="0.3">
      <c r="A939" t="s">
        <v>1012</v>
      </c>
      <c r="B939" t="s">
        <v>2012</v>
      </c>
      <c r="C939" t="s">
        <v>3012</v>
      </c>
      <c r="D939" t="s">
        <v>4012</v>
      </c>
      <c r="E939" t="s">
        <v>5012</v>
      </c>
      <c r="F939">
        <v>61</v>
      </c>
      <c r="G939" t="s">
        <v>5015</v>
      </c>
      <c r="H939" t="s">
        <v>5021</v>
      </c>
      <c r="I939" t="s">
        <v>5023</v>
      </c>
      <c r="J939">
        <v>142151</v>
      </c>
      <c r="K939">
        <v>36</v>
      </c>
      <c r="L939" s="7">
        <v>45227</v>
      </c>
      <c r="M939" t="s">
        <v>5029</v>
      </c>
      <c r="N939">
        <v>3</v>
      </c>
      <c r="O939">
        <v>5599</v>
      </c>
    </row>
    <row r="940" spans="1:15" x14ac:dyDescent="0.3">
      <c r="A940" t="s">
        <v>433</v>
      </c>
      <c r="B940" t="s">
        <v>1433</v>
      </c>
      <c r="C940" t="s">
        <v>2433</v>
      </c>
      <c r="D940" t="s">
        <v>3433</v>
      </c>
      <c r="E940" t="s">
        <v>4433</v>
      </c>
      <c r="F940">
        <v>28</v>
      </c>
      <c r="G940" t="s">
        <v>5016</v>
      </c>
      <c r="H940" t="s">
        <v>5020</v>
      </c>
      <c r="I940" t="s">
        <v>5024</v>
      </c>
      <c r="J940">
        <v>142343</v>
      </c>
      <c r="K940">
        <v>1</v>
      </c>
      <c r="L940" s="7">
        <v>45280</v>
      </c>
      <c r="M940" t="s">
        <v>5028</v>
      </c>
      <c r="N940">
        <v>8</v>
      </c>
      <c r="O940">
        <v>6408</v>
      </c>
    </row>
    <row r="941" spans="1:15" x14ac:dyDescent="0.3">
      <c r="A941" t="s">
        <v>580</v>
      </c>
      <c r="B941" t="s">
        <v>1580</v>
      </c>
      <c r="C941" t="s">
        <v>2580</v>
      </c>
      <c r="D941" t="s">
        <v>3580</v>
      </c>
      <c r="E941" t="s">
        <v>4580</v>
      </c>
      <c r="F941">
        <v>45</v>
      </c>
      <c r="G941" t="s">
        <v>5016</v>
      </c>
      <c r="H941" t="s">
        <v>5021</v>
      </c>
      <c r="I941" t="s">
        <v>5027</v>
      </c>
      <c r="J941">
        <v>142386</v>
      </c>
      <c r="K941">
        <v>34</v>
      </c>
      <c r="L941" s="7">
        <v>45033</v>
      </c>
      <c r="M941" t="s">
        <v>5030</v>
      </c>
      <c r="N941">
        <v>7</v>
      </c>
      <c r="O941">
        <v>338</v>
      </c>
    </row>
    <row r="942" spans="1:15" x14ac:dyDescent="0.3">
      <c r="A942" t="s">
        <v>210</v>
      </c>
      <c r="B942" t="s">
        <v>1210</v>
      </c>
      <c r="C942" t="s">
        <v>2210</v>
      </c>
      <c r="D942" t="s">
        <v>3210</v>
      </c>
      <c r="E942" t="s">
        <v>4210</v>
      </c>
      <c r="F942">
        <v>26</v>
      </c>
      <c r="G942" t="s">
        <v>5016</v>
      </c>
      <c r="H942" t="s">
        <v>5022</v>
      </c>
      <c r="I942" t="s">
        <v>5025</v>
      </c>
      <c r="J942">
        <v>142446</v>
      </c>
      <c r="K942">
        <v>54</v>
      </c>
      <c r="L942" s="7">
        <v>45196</v>
      </c>
      <c r="M942" t="s">
        <v>5029</v>
      </c>
      <c r="N942">
        <v>1</v>
      </c>
      <c r="O942">
        <v>8964</v>
      </c>
    </row>
    <row r="943" spans="1:15" x14ac:dyDescent="0.3">
      <c r="A943" t="s">
        <v>628</v>
      </c>
      <c r="B943" t="s">
        <v>1628</v>
      </c>
      <c r="C943" t="s">
        <v>2628</v>
      </c>
      <c r="D943" t="s">
        <v>3628</v>
      </c>
      <c r="E943" t="s">
        <v>4628</v>
      </c>
      <c r="F943">
        <v>50</v>
      </c>
      <c r="G943" t="s">
        <v>5017</v>
      </c>
      <c r="H943" t="s">
        <v>5021</v>
      </c>
      <c r="I943" t="s">
        <v>5025</v>
      </c>
      <c r="J943">
        <v>142659</v>
      </c>
      <c r="K943">
        <v>56</v>
      </c>
      <c r="L943" s="7">
        <v>45168</v>
      </c>
      <c r="M943" t="s">
        <v>5030</v>
      </c>
      <c r="N943">
        <v>8</v>
      </c>
      <c r="O943">
        <v>9551</v>
      </c>
    </row>
    <row r="944" spans="1:15" x14ac:dyDescent="0.3">
      <c r="A944" t="s">
        <v>466</v>
      </c>
      <c r="B944" t="s">
        <v>1466</v>
      </c>
      <c r="C944" t="s">
        <v>2466</v>
      </c>
      <c r="D944" t="s">
        <v>3466</v>
      </c>
      <c r="E944" t="s">
        <v>4466</v>
      </c>
      <c r="F944">
        <v>63</v>
      </c>
      <c r="G944" t="s">
        <v>5017</v>
      </c>
      <c r="H944" t="s">
        <v>5018</v>
      </c>
      <c r="I944" t="s">
        <v>5026</v>
      </c>
      <c r="J944">
        <v>142737</v>
      </c>
      <c r="K944">
        <v>54</v>
      </c>
      <c r="L944" s="7">
        <v>45062</v>
      </c>
      <c r="M944" t="s">
        <v>5028</v>
      </c>
      <c r="N944">
        <v>6</v>
      </c>
      <c r="O944">
        <v>5982</v>
      </c>
    </row>
    <row r="945" spans="1:15" x14ac:dyDescent="0.3">
      <c r="A945" t="s">
        <v>914</v>
      </c>
      <c r="B945" t="s">
        <v>1914</v>
      </c>
      <c r="C945" t="s">
        <v>2914</v>
      </c>
      <c r="D945" t="s">
        <v>3914</v>
      </c>
      <c r="E945" t="s">
        <v>4914</v>
      </c>
      <c r="F945">
        <v>63</v>
      </c>
      <c r="G945" t="s">
        <v>5015</v>
      </c>
      <c r="H945" t="s">
        <v>5022</v>
      </c>
      <c r="I945" t="s">
        <v>5027</v>
      </c>
      <c r="J945">
        <v>142801</v>
      </c>
      <c r="K945">
        <v>13</v>
      </c>
      <c r="L945" s="7">
        <v>45036</v>
      </c>
      <c r="M945" t="s">
        <v>5030</v>
      </c>
      <c r="N945">
        <v>6</v>
      </c>
      <c r="O945">
        <v>8169</v>
      </c>
    </row>
    <row r="946" spans="1:15" x14ac:dyDescent="0.3">
      <c r="A946" t="s">
        <v>87</v>
      </c>
      <c r="B946" t="s">
        <v>1087</v>
      </c>
      <c r="C946" t="s">
        <v>2087</v>
      </c>
      <c r="D946" t="s">
        <v>3087</v>
      </c>
      <c r="E946" t="s">
        <v>4087</v>
      </c>
      <c r="F946">
        <v>52</v>
      </c>
      <c r="G946" t="s">
        <v>5017</v>
      </c>
      <c r="H946" t="s">
        <v>5020</v>
      </c>
      <c r="I946" t="s">
        <v>5024</v>
      </c>
      <c r="J946">
        <v>142805</v>
      </c>
      <c r="K946">
        <v>12</v>
      </c>
      <c r="L946" s="7">
        <v>45134</v>
      </c>
      <c r="M946" t="s">
        <v>5030</v>
      </c>
      <c r="N946">
        <v>2</v>
      </c>
      <c r="O946">
        <v>2642</v>
      </c>
    </row>
    <row r="947" spans="1:15" x14ac:dyDescent="0.3">
      <c r="A947" t="s">
        <v>1003</v>
      </c>
      <c r="B947" t="s">
        <v>2003</v>
      </c>
      <c r="C947" t="s">
        <v>3003</v>
      </c>
      <c r="D947" t="s">
        <v>4003</v>
      </c>
      <c r="E947" t="s">
        <v>5003</v>
      </c>
      <c r="F947">
        <v>34</v>
      </c>
      <c r="G947" t="s">
        <v>5016</v>
      </c>
      <c r="H947" t="s">
        <v>5018</v>
      </c>
      <c r="I947" t="s">
        <v>5026</v>
      </c>
      <c r="J947">
        <v>142879</v>
      </c>
      <c r="K947">
        <v>4</v>
      </c>
      <c r="L947" s="7">
        <v>45061</v>
      </c>
      <c r="M947" t="s">
        <v>5029</v>
      </c>
      <c r="N947">
        <v>7</v>
      </c>
      <c r="O947">
        <v>6751</v>
      </c>
    </row>
    <row r="948" spans="1:15" x14ac:dyDescent="0.3">
      <c r="A948" t="s">
        <v>659</v>
      </c>
      <c r="B948" t="s">
        <v>1659</v>
      </c>
      <c r="C948" t="s">
        <v>2659</v>
      </c>
      <c r="D948" t="s">
        <v>3659</v>
      </c>
      <c r="E948" t="s">
        <v>4659</v>
      </c>
      <c r="F948">
        <v>32</v>
      </c>
      <c r="G948" t="s">
        <v>5016</v>
      </c>
      <c r="H948" t="s">
        <v>5018</v>
      </c>
      <c r="I948" t="s">
        <v>5023</v>
      </c>
      <c r="J948">
        <v>143076</v>
      </c>
      <c r="K948">
        <v>56</v>
      </c>
      <c r="L948" s="7">
        <v>45080</v>
      </c>
      <c r="M948" t="s">
        <v>5028</v>
      </c>
      <c r="N948">
        <v>4</v>
      </c>
      <c r="O948">
        <v>5113</v>
      </c>
    </row>
    <row r="949" spans="1:15" x14ac:dyDescent="0.3">
      <c r="A949" t="s">
        <v>385</v>
      </c>
      <c r="B949" t="s">
        <v>1385</v>
      </c>
      <c r="C949" t="s">
        <v>2385</v>
      </c>
      <c r="D949" t="s">
        <v>3385</v>
      </c>
      <c r="E949" t="s">
        <v>4385</v>
      </c>
      <c r="F949">
        <v>68</v>
      </c>
      <c r="G949" t="s">
        <v>5015</v>
      </c>
      <c r="H949" t="s">
        <v>5018</v>
      </c>
      <c r="I949" t="s">
        <v>5023</v>
      </c>
      <c r="J949">
        <v>143467</v>
      </c>
      <c r="K949">
        <v>86</v>
      </c>
      <c r="L949" s="7">
        <v>45074</v>
      </c>
      <c r="M949" t="s">
        <v>5029</v>
      </c>
      <c r="N949">
        <v>4</v>
      </c>
      <c r="O949">
        <v>8478</v>
      </c>
    </row>
    <row r="950" spans="1:15" x14ac:dyDescent="0.3">
      <c r="A950" t="s">
        <v>73</v>
      </c>
      <c r="B950" t="s">
        <v>1073</v>
      </c>
      <c r="C950" t="s">
        <v>2073</v>
      </c>
      <c r="D950" t="s">
        <v>3073</v>
      </c>
      <c r="E950" t="s">
        <v>4073</v>
      </c>
      <c r="F950">
        <v>27</v>
      </c>
      <c r="G950" t="s">
        <v>5015</v>
      </c>
      <c r="H950" t="s">
        <v>5018</v>
      </c>
      <c r="I950" t="s">
        <v>5023</v>
      </c>
      <c r="J950">
        <v>143823</v>
      </c>
      <c r="K950">
        <v>5</v>
      </c>
      <c r="L950" s="7">
        <v>45129</v>
      </c>
      <c r="M950" t="s">
        <v>5030</v>
      </c>
      <c r="N950">
        <v>10</v>
      </c>
      <c r="O950">
        <v>5222</v>
      </c>
    </row>
    <row r="951" spans="1:15" x14ac:dyDescent="0.3">
      <c r="A951" t="s">
        <v>341</v>
      </c>
      <c r="B951" t="s">
        <v>1341</v>
      </c>
      <c r="C951" t="s">
        <v>2341</v>
      </c>
      <c r="D951" t="s">
        <v>3341</v>
      </c>
      <c r="E951" t="s">
        <v>4341</v>
      </c>
      <c r="F951">
        <v>18</v>
      </c>
      <c r="G951" t="s">
        <v>5015</v>
      </c>
      <c r="H951" t="s">
        <v>5020</v>
      </c>
      <c r="I951" t="s">
        <v>5023</v>
      </c>
      <c r="J951">
        <v>143980</v>
      </c>
      <c r="K951">
        <v>35</v>
      </c>
      <c r="L951" s="7">
        <v>45061</v>
      </c>
      <c r="M951" t="s">
        <v>5029</v>
      </c>
      <c r="N951">
        <v>9</v>
      </c>
      <c r="O951">
        <v>22</v>
      </c>
    </row>
    <row r="952" spans="1:15" x14ac:dyDescent="0.3">
      <c r="A952" t="s">
        <v>470</v>
      </c>
      <c r="B952" t="s">
        <v>1470</v>
      </c>
      <c r="C952" t="s">
        <v>2470</v>
      </c>
      <c r="D952" t="s">
        <v>3470</v>
      </c>
      <c r="E952" t="s">
        <v>4470</v>
      </c>
      <c r="F952">
        <v>41</v>
      </c>
      <c r="G952" t="s">
        <v>5017</v>
      </c>
      <c r="H952" t="s">
        <v>5020</v>
      </c>
      <c r="I952" t="s">
        <v>5027</v>
      </c>
      <c r="J952">
        <v>144014</v>
      </c>
      <c r="K952">
        <v>73</v>
      </c>
      <c r="L952" s="7">
        <v>45269</v>
      </c>
      <c r="M952" t="s">
        <v>5029</v>
      </c>
      <c r="N952">
        <v>6</v>
      </c>
      <c r="O952">
        <v>6136</v>
      </c>
    </row>
    <row r="953" spans="1:15" x14ac:dyDescent="0.3">
      <c r="A953" t="s">
        <v>508</v>
      </c>
      <c r="B953" t="s">
        <v>1508</v>
      </c>
      <c r="C953" t="s">
        <v>2508</v>
      </c>
      <c r="D953" t="s">
        <v>3508</v>
      </c>
      <c r="E953" t="s">
        <v>4508</v>
      </c>
      <c r="F953">
        <v>65</v>
      </c>
      <c r="G953" t="s">
        <v>5015</v>
      </c>
      <c r="H953" t="s">
        <v>5020</v>
      </c>
      <c r="I953" t="s">
        <v>5025</v>
      </c>
      <c r="J953">
        <v>144192</v>
      </c>
      <c r="K953">
        <v>42</v>
      </c>
      <c r="L953" s="7">
        <v>45126</v>
      </c>
      <c r="M953" t="s">
        <v>5030</v>
      </c>
      <c r="N953">
        <v>10</v>
      </c>
      <c r="O953">
        <v>4327</v>
      </c>
    </row>
    <row r="954" spans="1:15" x14ac:dyDescent="0.3">
      <c r="A954" t="s">
        <v>371</v>
      </c>
      <c r="B954" t="s">
        <v>1371</v>
      </c>
      <c r="C954" t="s">
        <v>2371</v>
      </c>
      <c r="D954" t="s">
        <v>3371</v>
      </c>
      <c r="E954" t="s">
        <v>4371</v>
      </c>
      <c r="F954">
        <v>59</v>
      </c>
      <c r="G954" t="s">
        <v>5016</v>
      </c>
      <c r="H954" t="s">
        <v>5019</v>
      </c>
      <c r="I954" t="s">
        <v>5024</v>
      </c>
      <c r="J954">
        <v>144416</v>
      </c>
      <c r="K954">
        <v>27</v>
      </c>
      <c r="L954" s="7">
        <v>45219</v>
      </c>
      <c r="M954" t="s">
        <v>5030</v>
      </c>
      <c r="N954">
        <v>5</v>
      </c>
      <c r="O954">
        <v>1372</v>
      </c>
    </row>
    <row r="955" spans="1:15" x14ac:dyDescent="0.3">
      <c r="A955" t="s">
        <v>66</v>
      </c>
      <c r="B955" t="s">
        <v>1066</v>
      </c>
      <c r="C955" t="s">
        <v>2066</v>
      </c>
      <c r="D955" t="s">
        <v>3066</v>
      </c>
      <c r="E955" t="s">
        <v>4066</v>
      </c>
      <c r="F955">
        <v>22</v>
      </c>
      <c r="G955" t="s">
        <v>5015</v>
      </c>
      <c r="H955" t="s">
        <v>5020</v>
      </c>
      <c r="I955" t="s">
        <v>5024</v>
      </c>
      <c r="J955">
        <v>144435</v>
      </c>
      <c r="K955">
        <v>84</v>
      </c>
      <c r="L955" s="7">
        <v>44976</v>
      </c>
      <c r="M955" t="s">
        <v>5028</v>
      </c>
      <c r="N955">
        <v>4</v>
      </c>
      <c r="O955">
        <v>9712</v>
      </c>
    </row>
    <row r="956" spans="1:15" x14ac:dyDescent="0.3">
      <c r="A956" t="s">
        <v>381</v>
      </c>
      <c r="B956" t="s">
        <v>1381</v>
      </c>
      <c r="C956" t="s">
        <v>2381</v>
      </c>
      <c r="D956" t="s">
        <v>3381</v>
      </c>
      <c r="E956" t="s">
        <v>4381</v>
      </c>
      <c r="F956">
        <v>36</v>
      </c>
      <c r="G956" t="s">
        <v>5015</v>
      </c>
      <c r="H956" t="s">
        <v>5020</v>
      </c>
      <c r="I956" t="s">
        <v>5026</v>
      </c>
      <c r="J956">
        <v>144459</v>
      </c>
      <c r="K956">
        <v>76</v>
      </c>
      <c r="L956" s="7">
        <v>45015</v>
      </c>
      <c r="M956" t="s">
        <v>5028</v>
      </c>
      <c r="N956">
        <v>2</v>
      </c>
      <c r="O956">
        <v>4768</v>
      </c>
    </row>
    <row r="957" spans="1:15" x14ac:dyDescent="0.3">
      <c r="A957" t="s">
        <v>154</v>
      </c>
      <c r="B957" t="s">
        <v>1154</v>
      </c>
      <c r="C957" t="s">
        <v>2154</v>
      </c>
      <c r="D957" t="s">
        <v>3154</v>
      </c>
      <c r="E957" t="s">
        <v>4154</v>
      </c>
      <c r="F957">
        <v>20</v>
      </c>
      <c r="G957" t="s">
        <v>5015</v>
      </c>
      <c r="H957" t="s">
        <v>5018</v>
      </c>
      <c r="I957" t="s">
        <v>5024</v>
      </c>
      <c r="J957">
        <v>144539</v>
      </c>
      <c r="K957">
        <v>93</v>
      </c>
      <c r="L957" s="7">
        <v>45274</v>
      </c>
      <c r="M957" t="s">
        <v>5029</v>
      </c>
      <c r="N957">
        <v>8</v>
      </c>
      <c r="O957">
        <v>1038</v>
      </c>
    </row>
    <row r="958" spans="1:15" x14ac:dyDescent="0.3">
      <c r="A958" t="s">
        <v>769</v>
      </c>
      <c r="B958" t="s">
        <v>1769</v>
      </c>
      <c r="C958" t="s">
        <v>2769</v>
      </c>
      <c r="D958" t="s">
        <v>3769</v>
      </c>
      <c r="E958" t="s">
        <v>4769</v>
      </c>
      <c r="F958">
        <v>59</v>
      </c>
      <c r="G958" t="s">
        <v>5017</v>
      </c>
      <c r="H958" t="s">
        <v>5018</v>
      </c>
      <c r="I958" t="s">
        <v>5023</v>
      </c>
      <c r="J958">
        <v>144739</v>
      </c>
      <c r="K958">
        <v>62</v>
      </c>
      <c r="L958" s="7">
        <v>45156</v>
      </c>
      <c r="M958" t="s">
        <v>5030</v>
      </c>
      <c r="N958">
        <v>7</v>
      </c>
      <c r="O958">
        <v>8569</v>
      </c>
    </row>
    <row r="959" spans="1:15" x14ac:dyDescent="0.3">
      <c r="A959" t="s">
        <v>879</v>
      </c>
      <c r="B959" t="s">
        <v>1879</v>
      </c>
      <c r="C959" t="s">
        <v>2879</v>
      </c>
      <c r="D959" t="s">
        <v>3879</v>
      </c>
      <c r="E959" t="s">
        <v>4879</v>
      </c>
      <c r="F959">
        <v>34</v>
      </c>
      <c r="G959" t="s">
        <v>5017</v>
      </c>
      <c r="H959" t="s">
        <v>5019</v>
      </c>
      <c r="I959" t="s">
        <v>5025</v>
      </c>
      <c r="J959">
        <v>144767</v>
      </c>
      <c r="K959">
        <v>80</v>
      </c>
      <c r="L959" s="7">
        <v>45022</v>
      </c>
      <c r="M959" t="s">
        <v>5028</v>
      </c>
      <c r="N959">
        <v>3</v>
      </c>
      <c r="O959">
        <v>1974</v>
      </c>
    </row>
    <row r="960" spans="1:15" x14ac:dyDescent="0.3">
      <c r="A960" t="s">
        <v>732</v>
      </c>
      <c r="B960" t="s">
        <v>1732</v>
      </c>
      <c r="C960" t="s">
        <v>2732</v>
      </c>
      <c r="D960" t="s">
        <v>3732</v>
      </c>
      <c r="E960" t="s">
        <v>4732</v>
      </c>
      <c r="F960">
        <v>63</v>
      </c>
      <c r="G960" t="s">
        <v>5015</v>
      </c>
      <c r="H960" t="s">
        <v>5018</v>
      </c>
      <c r="I960" t="s">
        <v>5024</v>
      </c>
      <c r="J960">
        <v>144776</v>
      </c>
      <c r="K960">
        <v>29</v>
      </c>
      <c r="L960" s="7">
        <v>45275</v>
      </c>
      <c r="M960" t="s">
        <v>5029</v>
      </c>
      <c r="N960">
        <v>7</v>
      </c>
      <c r="O960">
        <v>1747</v>
      </c>
    </row>
    <row r="961" spans="1:15" x14ac:dyDescent="0.3">
      <c r="A961" t="s">
        <v>265</v>
      </c>
      <c r="B961" t="s">
        <v>1265</v>
      </c>
      <c r="C961" t="s">
        <v>2265</v>
      </c>
      <c r="D961" t="s">
        <v>3265</v>
      </c>
      <c r="E961" t="s">
        <v>4265</v>
      </c>
      <c r="F961">
        <v>42</v>
      </c>
      <c r="G961" t="s">
        <v>5017</v>
      </c>
      <c r="H961" t="s">
        <v>5020</v>
      </c>
      <c r="I961" t="s">
        <v>5025</v>
      </c>
      <c r="J961">
        <v>144958</v>
      </c>
      <c r="K961">
        <v>96</v>
      </c>
      <c r="L961" s="7">
        <v>45257</v>
      </c>
      <c r="M961" t="s">
        <v>5029</v>
      </c>
      <c r="N961">
        <v>5</v>
      </c>
      <c r="O961">
        <v>1523</v>
      </c>
    </row>
    <row r="962" spans="1:15" x14ac:dyDescent="0.3">
      <c r="A962" t="s">
        <v>21</v>
      </c>
      <c r="B962" t="s">
        <v>1021</v>
      </c>
      <c r="C962" t="s">
        <v>2021</v>
      </c>
      <c r="D962" t="s">
        <v>3021</v>
      </c>
      <c r="E962" t="s">
        <v>4021</v>
      </c>
      <c r="F962">
        <v>49</v>
      </c>
      <c r="G962" t="s">
        <v>5016</v>
      </c>
      <c r="H962" t="s">
        <v>5019</v>
      </c>
      <c r="I962" t="s">
        <v>5025</v>
      </c>
      <c r="J962">
        <v>145157</v>
      </c>
      <c r="K962">
        <v>20</v>
      </c>
      <c r="L962" s="7">
        <v>45177</v>
      </c>
      <c r="M962" t="s">
        <v>5028</v>
      </c>
      <c r="N962">
        <v>3</v>
      </c>
      <c r="O962">
        <v>9941</v>
      </c>
    </row>
    <row r="963" spans="1:15" x14ac:dyDescent="0.3">
      <c r="A963" t="s">
        <v>285</v>
      </c>
      <c r="B963" t="s">
        <v>1285</v>
      </c>
      <c r="C963" t="s">
        <v>2285</v>
      </c>
      <c r="D963" t="s">
        <v>3285</v>
      </c>
      <c r="E963" t="s">
        <v>4285</v>
      </c>
      <c r="F963">
        <v>25</v>
      </c>
      <c r="G963" t="s">
        <v>5015</v>
      </c>
      <c r="H963" t="s">
        <v>5020</v>
      </c>
      <c r="I963" t="s">
        <v>5024</v>
      </c>
      <c r="J963">
        <v>145174</v>
      </c>
      <c r="K963">
        <v>77</v>
      </c>
      <c r="L963" s="7">
        <v>45283</v>
      </c>
      <c r="M963" t="s">
        <v>5029</v>
      </c>
      <c r="N963">
        <v>6</v>
      </c>
      <c r="O963">
        <v>4763</v>
      </c>
    </row>
    <row r="964" spans="1:15" x14ac:dyDescent="0.3">
      <c r="A964" t="s">
        <v>609</v>
      </c>
      <c r="B964" t="s">
        <v>1609</v>
      </c>
      <c r="C964" t="s">
        <v>2609</v>
      </c>
      <c r="D964" t="s">
        <v>3609</v>
      </c>
      <c r="E964" t="s">
        <v>4609</v>
      </c>
      <c r="F964">
        <v>25</v>
      </c>
      <c r="G964" t="s">
        <v>5016</v>
      </c>
      <c r="H964" t="s">
        <v>5021</v>
      </c>
      <c r="I964" t="s">
        <v>5025</v>
      </c>
      <c r="J964">
        <v>145214</v>
      </c>
      <c r="K964">
        <v>2</v>
      </c>
      <c r="L964" s="7">
        <v>45115</v>
      </c>
      <c r="M964" t="s">
        <v>5028</v>
      </c>
      <c r="N964">
        <v>6</v>
      </c>
      <c r="O964">
        <v>5761</v>
      </c>
    </row>
    <row r="965" spans="1:15" x14ac:dyDescent="0.3">
      <c r="A965" t="s">
        <v>584</v>
      </c>
      <c r="B965" t="s">
        <v>1584</v>
      </c>
      <c r="C965" t="s">
        <v>2584</v>
      </c>
      <c r="D965" t="s">
        <v>3584</v>
      </c>
      <c r="E965" t="s">
        <v>4584</v>
      </c>
      <c r="F965">
        <v>51</v>
      </c>
      <c r="G965" t="s">
        <v>5016</v>
      </c>
      <c r="H965" t="s">
        <v>5021</v>
      </c>
      <c r="I965" t="s">
        <v>5024</v>
      </c>
      <c r="J965">
        <v>145280</v>
      </c>
      <c r="K965">
        <v>0</v>
      </c>
      <c r="L965" s="7">
        <v>45259</v>
      </c>
      <c r="M965" t="s">
        <v>5028</v>
      </c>
      <c r="N965">
        <v>7</v>
      </c>
      <c r="O965">
        <v>1082</v>
      </c>
    </row>
    <row r="966" spans="1:15" x14ac:dyDescent="0.3">
      <c r="A966" t="s">
        <v>655</v>
      </c>
      <c r="B966" t="s">
        <v>1655</v>
      </c>
      <c r="C966" t="s">
        <v>2655</v>
      </c>
      <c r="D966" t="s">
        <v>3655</v>
      </c>
      <c r="E966" t="s">
        <v>4655</v>
      </c>
      <c r="F966">
        <v>19</v>
      </c>
      <c r="G966" t="s">
        <v>5017</v>
      </c>
      <c r="H966" t="s">
        <v>5021</v>
      </c>
      <c r="I966" t="s">
        <v>5023</v>
      </c>
      <c r="J966">
        <v>145313</v>
      </c>
      <c r="K966">
        <v>67</v>
      </c>
      <c r="L966" s="7">
        <v>45203</v>
      </c>
      <c r="M966" t="s">
        <v>5028</v>
      </c>
      <c r="N966">
        <v>5</v>
      </c>
      <c r="O966">
        <v>4103</v>
      </c>
    </row>
    <row r="967" spans="1:15" x14ac:dyDescent="0.3">
      <c r="A967" t="s">
        <v>361</v>
      </c>
      <c r="B967" t="s">
        <v>1361</v>
      </c>
      <c r="C967" t="s">
        <v>2361</v>
      </c>
      <c r="D967" t="s">
        <v>3361</v>
      </c>
      <c r="E967" t="s">
        <v>4361</v>
      </c>
      <c r="F967">
        <v>34</v>
      </c>
      <c r="G967" t="s">
        <v>5016</v>
      </c>
      <c r="H967" t="s">
        <v>5018</v>
      </c>
      <c r="I967" t="s">
        <v>5027</v>
      </c>
      <c r="J967">
        <v>145559</v>
      </c>
      <c r="K967">
        <v>62</v>
      </c>
      <c r="L967" s="7">
        <v>44940</v>
      </c>
      <c r="M967" t="s">
        <v>5030</v>
      </c>
      <c r="N967">
        <v>3</v>
      </c>
      <c r="O967">
        <v>9403</v>
      </c>
    </row>
    <row r="968" spans="1:15" x14ac:dyDescent="0.3">
      <c r="A968" t="s">
        <v>707</v>
      </c>
      <c r="B968" t="s">
        <v>1707</v>
      </c>
      <c r="C968" t="s">
        <v>2707</v>
      </c>
      <c r="D968" t="s">
        <v>3707</v>
      </c>
      <c r="E968" t="s">
        <v>4707</v>
      </c>
      <c r="F968">
        <v>50</v>
      </c>
      <c r="G968" t="s">
        <v>5015</v>
      </c>
      <c r="H968" t="s">
        <v>5022</v>
      </c>
      <c r="I968" t="s">
        <v>5027</v>
      </c>
      <c r="J968">
        <v>145604</v>
      </c>
      <c r="K968">
        <v>14</v>
      </c>
      <c r="L968" s="7">
        <v>44954</v>
      </c>
      <c r="M968" t="s">
        <v>5028</v>
      </c>
      <c r="N968">
        <v>2</v>
      </c>
      <c r="O968">
        <v>7192</v>
      </c>
    </row>
    <row r="969" spans="1:15" x14ac:dyDescent="0.3">
      <c r="A969" t="s">
        <v>60</v>
      </c>
      <c r="B969" t="s">
        <v>1060</v>
      </c>
      <c r="C969" t="s">
        <v>2060</v>
      </c>
      <c r="D969" t="s">
        <v>3060</v>
      </c>
      <c r="E969" t="s">
        <v>4060</v>
      </c>
      <c r="F969">
        <v>31</v>
      </c>
      <c r="G969" t="s">
        <v>5015</v>
      </c>
      <c r="H969" t="s">
        <v>5019</v>
      </c>
      <c r="I969" t="s">
        <v>5025</v>
      </c>
      <c r="J969">
        <v>145946</v>
      </c>
      <c r="K969">
        <v>95</v>
      </c>
      <c r="L969" s="7">
        <v>44997</v>
      </c>
      <c r="M969" t="s">
        <v>5030</v>
      </c>
      <c r="N969">
        <v>1</v>
      </c>
      <c r="O969">
        <v>8946</v>
      </c>
    </row>
    <row r="970" spans="1:15" x14ac:dyDescent="0.3">
      <c r="A970" t="s">
        <v>736</v>
      </c>
      <c r="B970" t="s">
        <v>1736</v>
      </c>
      <c r="C970" t="s">
        <v>2736</v>
      </c>
      <c r="D970" t="s">
        <v>3736</v>
      </c>
      <c r="E970" t="s">
        <v>4736</v>
      </c>
      <c r="F970">
        <v>31</v>
      </c>
      <c r="G970" t="s">
        <v>5015</v>
      </c>
      <c r="H970" t="s">
        <v>5022</v>
      </c>
      <c r="I970" t="s">
        <v>5027</v>
      </c>
      <c r="J970">
        <v>146006</v>
      </c>
      <c r="K970">
        <v>84</v>
      </c>
      <c r="L970" s="7">
        <v>45189</v>
      </c>
      <c r="M970" t="s">
        <v>5028</v>
      </c>
      <c r="N970">
        <v>5</v>
      </c>
      <c r="O970">
        <v>4957</v>
      </c>
    </row>
    <row r="971" spans="1:15" x14ac:dyDescent="0.3">
      <c r="A971" t="s">
        <v>399</v>
      </c>
      <c r="B971" t="s">
        <v>1399</v>
      </c>
      <c r="C971" t="s">
        <v>2399</v>
      </c>
      <c r="D971" t="s">
        <v>3399</v>
      </c>
      <c r="E971" t="s">
        <v>4399</v>
      </c>
      <c r="F971">
        <v>64</v>
      </c>
      <c r="G971" t="s">
        <v>5015</v>
      </c>
      <c r="H971" t="s">
        <v>5018</v>
      </c>
      <c r="I971" t="s">
        <v>5023</v>
      </c>
      <c r="J971">
        <v>146007</v>
      </c>
      <c r="K971">
        <v>91</v>
      </c>
      <c r="L971" s="7">
        <v>45189</v>
      </c>
      <c r="M971" t="s">
        <v>5030</v>
      </c>
      <c r="N971">
        <v>3</v>
      </c>
      <c r="O971">
        <v>686</v>
      </c>
    </row>
    <row r="972" spans="1:15" x14ac:dyDescent="0.3">
      <c r="A972" t="s">
        <v>849</v>
      </c>
      <c r="B972" t="s">
        <v>1849</v>
      </c>
      <c r="C972" t="s">
        <v>2849</v>
      </c>
      <c r="D972" t="s">
        <v>3849</v>
      </c>
      <c r="E972" t="s">
        <v>4849</v>
      </c>
      <c r="F972">
        <v>39</v>
      </c>
      <c r="G972" t="s">
        <v>5015</v>
      </c>
      <c r="H972" t="s">
        <v>5021</v>
      </c>
      <c r="I972" t="s">
        <v>5024</v>
      </c>
      <c r="J972">
        <v>146027</v>
      </c>
      <c r="K972">
        <v>31</v>
      </c>
      <c r="L972" s="7">
        <v>45121</v>
      </c>
      <c r="M972" t="s">
        <v>5028</v>
      </c>
      <c r="N972">
        <v>7</v>
      </c>
      <c r="O972">
        <v>7926</v>
      </c>
    </row>
    <row r="973" spans="1:15" x14ac:dyDescent="0.3">
      <c r="A973" t="s">
        <v>356</v>
      </c>
      <c r="B973" t="s">
        <v>1356</v>
      </c>
      <c r="C973" t="s">
        <v>2356</v>
      </c>
      <c r="D973" t="s">
        <v>3356</v>
      </c>
      <c r="E973" t="s">
        <v>4356</v>
      </c>
      <c r="F973">
        <v>68</v>
      </c>
      <c r="G973" t="s">
        <v>5016</v>
      </c>
      <c r="H973" t="s">
        <v>5020</v>
      </c>
      <c r="I973" t="s">
        <v>5023</v>
      </c>
      <c r="J973">
        <v>146117</v>
      </c>
      <c r="K973">
        <v>79</v>
      </c>
      <c r="L973" s="7">
        <v>45181</v>
      </c>
      <c r="M973" t="s">
        <v>5030</v>
      </c>
      <c r="N973">
        <v>8</v>
      </c>
      <c r="O973">
        <v>9712</v>
      </c>
    </row>
    <row r="974" spans="1:15" x14ac:dyDescent="0.3">
      <c r="A974" t="s">
        <v>397</v>
      </c>
      <c r="B974" t="s">
        <v>1397</v>
      </c>
      <c r="C974" t="s">
        <v>2397</v>
      </c>
      <c r="D974" t="s">
        <v>3397</v>
      </c>
      <c r="E974" t="s">
        <v>4397</v>
      </c>
      <c r="F974">
        <v>67</v>
      </c>
      <c r="G974" t="s">
        <v>5016</v>
      </c>
      <c r="H974" t="s">
        <v>5018</v>
      </c>
      <c r="I974" t="s">
        <v>5025</v>
      </c>
      <c r="J974">
        <v>146271</v>
      </c>
      <c r="K974">
        <v>54</v>
      </c>
      <c r="L974" s="7">
        <v>45200</v>
      </c>
      <c r="M974" t="s">
        <v>5028</v>
      </c>
      <c r="N974">
        <v>9</v>
      </c>
      <c r="O974">
        <v>6789</v>
      </c>
    </row>
    <row r="975" spans="1:15" x14ac:dyDescent="0.3">
      <c r="A975" t="s">
        <v>315</v>
      </c>
      <c r="B975" t="s">
        <v>1315</v>
      </c>
      <c r="C975" t="s">
        <v>2315</v>
      </c>
      <c r="D975" t="s">
        <v>3315</v>
      </c>
      <c r="E975" t="s">
        <v>4315</v>
      </c>
      <c r="F975">
        <v>57</v>
      </c>
      <c r="G975" t="s">
        <v>5015</v>
      </c>
      <c r="H975" t="s">
        <v>5019</v>
      </c>
      <c r="I975" t="s">
        <v>5026</v>
      </c>
      <c r="J975">
        <v>146441</v>
      </c>
      <c r="K975">
        <v>87</v>
      </c>
      <c r="L975" s="7">
        <v>45276</v>
      </c>
      <c r="M975" t="s">
        <v>5028</v>
      </c>
      <c r="N975">
        <v>2</v>
      </c>
      <c r="O975">
        <v>5095</v>
      </c>
    </row>
    <row r="976" spans="1:15" x14ac:dyDescent="0.3">
      <c r="A976" t="s">
        <v>912</v>
      </c>
      <c r="B976" t="s">
        <v>1912</v>
      </c>
      <c r="C976" t="s">
        <v>2912</v>
      </c>
      <c r="D976" t="s">
        <v>3912</v>
      </c>
      <c r="E976" t="s">
        <v>4912</v>
      </c>
      <c r="F976">
        <v>53</v>
      </c>
      <c r="G976" t="s">
        <v>5017</v>
      </c>
      <c r="H976" t="s">
        <v>5021</v>
      </c>
      <c r="I976" t="s">
        <v>5025</v>
      </c>
      <c r="J976">
        <v>146533</v>
      </c>
      <c r="K976">
        <v>75</v>
      </c>
      <c r="L976" s="7">
        <v>45234</v>
      </c>
      <c r="M976" t="s">
        <v>5030</v>
      </c>
      <c r="N976">
        <v>5</v>
      </c>
      <c r="O976">
        <v>1012</v>
      </c>
    </row>
    <row r="977" spans="1:15" x14ac:dyDescent="0.3">
      <c r="A977" t="s">
        <v>650</v>
      </c>
      <c r="B977" t="s">
        <v>1650</v>
      </c>
      <c r="C977" t="s">
        <v>2650</v>
      </c>
      <c r="D977" t="s">
        <v>3650</v>
      </c>
      <c r="E977" t="s">
        <v>4650</v>
      </c>
      <c r="F977">
        <v>59</v>
      </c>
      <c r="G977" t="s">
        <v>5016</v>
      </c>
      <c r="H977" t="s">
        <v>5022</v>
      </c>
      <c r="I977" t="s">
        <v>5025</v>
      </c>
      <c r="J977">
        <v>146705</v>
      </c>
      <c r="K977">
        <v>47</v>
      </c>
      <c r="L977" s="7">
        <v>44929</v>
      </c>
      <c r="M977" t="s">
        <v>5028</v>
      </c>
      <c r="N977">
        <v>4</v>
      </c>
      <c r="O977">
        <v>8211</v>
      </c>
    </row>
    <row r="978" spans="1:15" x14ac:dyDescent="0.3">
      <c r="A978" t="s">
        <v>856</v>
      </c>
      <c r="B978" t="s">
        <v>1856</v>
      </c>
      <c r="C978" t="s">
        <v>2856</v>
      </c>
      <c r="D978" t="s">
        <v>3856</v>
      </c>
      <c r="E978" t="s">
        <v>4856</v>
      </c>
      <c r="F978">
        <v>64</v>
      </c>
      <c r="G978" t="s">
        <v>5015</v>
      </c>
      <c r="H978" t="s">
        <v>5020</v>
      </c>
      <c r="I978" t="s">
        <v>5027</v>
      </c>
      <c r="J978">
        <v>146820</v>
      </c>
      <c r="K978">
        <v>61</v>
      </c>
      <c r="L978" s="7">
        <v>45158</v>
      </c>
      <c r="M978" t="s">
        <v>5029</v>
      </c>
      <c r="N978">
        <v>8</v>
      </c>
      <c r="O978">
        <v>8544</v>
      </c>
    </row>
    <row r="979" spans="1:15" x14ac:dyDescent="0.3">
      <c r="A979" t="s">
        <v>802</v>
      </c>
      <c r="B979" t="s">
        <v>1802</v>
      </c>
      <c r="C979" t="s">
        <v>2802</v>
      </c>
      <c r="D979" t="s">
        <v>3802</v>
      </c>
      <c r="E979" t="s">
        <v>4802</v>
      </c>
      <c r="F979">
        <v>66</v>
      </c>
      <c r="G979" t="s">
        <v>5015</v>
      </c>
      <c r="H979" t="s">
        <v>5018</v>
      </c>
      <c r="I979" t="s">
        <v>5026</v>
      </c>
      <c r="J979">
        <v>146919</v>
      </c>
      <c r="K979">
        <v>29</v>
      </c>
      <c r="L979" s="7">
        <v>45143</v>
      </c>
      <c r="M979" t="s">
        <v>5029</v>
      </c>
      <c r="N979">
        <v>10</v>
      </c>
      <c r="O979">
        <v>5079</v>
      </c>
    </row>
    <row r="980" spans="1:15" x14ac:dyDescent="0.3">
      <c r="A980" t="s">
        <v>227</v>
      </c>
      <c r="B980" t="s">
        <v>1227</v>
      </c>
      <c r="C980" t="s">
        <v>2227</v>
      </c>
      <c r="D980" t="s">
        <v>3227</v>
      </c>
      <c r="E980" t="s">
        <v>4227</v>
      </c>
      <c r="F980">
        <v>67</v>
      </c>
      <c r="G980" t="s">
        <v>5015</v>
      </c>
      <c r="H980" t="s">
        <v>5022</v>
      </c>
      <c r="I980" t="s">
        <v>5025</v>
      </c>
      <c r="J980">
        <v>147037</v>
      </c>
      <c r="K980">
        <v>64</v>
      </c>
      <c r="L980" s="7">
        <v>44964</v>
      </c>
      <c r="M980" t="s">
        <v>5029</v>
      </c>
      <c r="N980">
        <v>10</v>
      </c>
      <c r="O980">
        <v>1661</v>
      </c>
    </row>
    <row r="981" spans="1:15" x14ac:dyDescent="0.3">
      <c r="A981" t="s">
        <v>810</v>
      </c>
      <c r="B981" t="s">
        <v>1810</v>
      </c>
      <c r="C981" t="s">
        <v>2810</v>
      </c>
      <c r="D981" t="s">
        <v>3810</v>
      </c>
      <c r="E981" t="s">
        <v>4810</v>
      </c>
      <c r="F981">
        <v>64</v>
      </c>
      <c r="G981" t="s">
        <v>5015</v>
      </c>
      <c r="H981" t="s">
        <v>5019</v>
      </c>
      <c r="I981" t="s">
        <v>5025</v>
      </c>
      <c r="J981">
        <v>147049</v>
      </c>
      <c r="K981">
        <v>92</v>
      </c>
      <c r="L981" s="7">
        <v>45001</v>
      </c>
      <c r="M981" t="s">
        <v>5030</v>
      </c>
      <c r="N981">
        <v>3</v>
      </c>
      <c r="O981">
        <v>4650</v>
      </c>
    </row>
    <row r="982" spans="1:15" x14ac:dyDescent="0.3">
      <c r="A982" t="s">
        <v>759</v>
      </c>
      <c r="B982" t="s">
        <v>1759</v>
      </c>
      <c r="C982" t="s">
        <v>2759</v>
      </c>
      <c r="D982" t="s">
        <v>3759</v>
      </c>
      <c r="E982" t="s">
        <v>4759</v>
      </c>
      <c r="F982">
        <v>63</v>
      </c>
      <c r="G982" t="s">
        <v>5017</v>
      </c>
      <c r="H982" t="s">
        <v>5019</v>
      </c>
      <c r="I982" t="s">
        <v>5027</v>
      </c>
      <c r="J982">
        <v>147525</v>
      </c>
      <c r="K982">
        <v>19</v>
      </c>
      <c r="L982" s="7">
        <v>45099</v>
      </c>
      <c r="M982" t="s">
        <v>5029</v>
      </c>
      <c r="N982">
        <v>2</v>
      </c>
      <c r="O982">
        <v>3888</v>
      </c>
    </row>
    <row r="983" spans="1:15" x14ac:dyDescent="0.3">
      <c r="A983" t="s">
        <v>804</v>
      </c>
      <c r="B983" t="s">
        <v>1804</v>
      </c>
      <c r="C983" t="s">
        <v>2804</v>
      </c>
      <c r="D983" t="s">
        <v>3804</v>
      </c>
      <c r="E983" t="s">
        <v>4804</v>
      </c>
      <c r="F983">
        <v>49</v>
      </c>
      <c r="G983" t="s">
        <v>5016</v>
      </c>
      <c r="H983" t="s">
        <v>5021</v>
      </c>
      <c r="I983" t="s">
        <v>5026</v>
      </c>
      <c r="J983">
        <v>147622</v>
      </c>
      <c r="K983">
        <v>92</v>
      </c>
      <c r="L983" s="7">
        <v>45212</v>
      </c>
      <c r="M983" t="s">
        <v>5029</v>
      </c>
      <c r="N983">
        <v>6</v>
      </c>
      <c r="O983">
        <v>4912</v>
      </c>
    </row>
    <row r="984" spans="1:15" x14ac:dyDescent="0.3">
      <c r="A984" t="s">
        <v>602</v>
      </c>
      <c r="B984" t="s">
        <v>1602</v>
      </c>
      <c r="C984" t="s">
        <v>2602</v>
      </c>
      <c r="D984" t="s">
        <v>3602</v>
      </c>
      <c r="E984" t="s">
        <v>4602</v>
      </c>
      <c r="F984">
        <v>29</v>
      </c>
      <c r="G984" t="s">
        <v>5015</v>
      </c>
      <c r="H984" t="s">
        <v>5019</v>
      </c>
      <c r="I984" t="s">
        <v>5027</v>
      </c>
      <c r="J984">
        <v>147638</v>
      </c>
      <c r="K984">
        <v>58</v>
      </c>
      <c r="L984" s="7">
        <v>44992</v>
      </c>
      <c r="M984" t="s">
        <v>5028</v>
      </c>
      <c r="N984">
        <v>2</v>
      </c>
      <c r="O984">
        <v>996</v>
      </c>
    </row>
    <row r="985" spans="1:15" x14ac:dyDescent="0.3">
      <c r="A985" t="s">
        <v>636</v>
      </c>
      <c r="B985" t="s">
        <v>1636</v>
      </c>
      <c r="C985" t="s">
        <v>2636</v>
      </c>
      <c r="D985" t="s">
        <v>3636</v>
      </c>
      <c r="E985" t="s">
        <v>4636</v>
      </c>
      <c r="F985">
        <v>69</v>
      </c>
      <c r="G985" t="s">
        <v>5017</v>
      </c>
      <c r="H985" t="s">
        <v>5020</v>
      </c>
      <c r="I985" t="s">
        <v>5026</v>
      </c>
      <c r="J985">
        <v>147646</v>
      </c>
      <c r="K985">
        <v>94</v>
      </c>
      <c r="L985" s="7">
        <v>45277</v>
      </c>
      <c r="M985" t="s">
        <v>5029</v>
      </c>
      <c r="N985">
        <v>6</v>
      </c>
      <c r="O985">
        <v>168</v>
      </c>
    </row>
    <row r="986" spans="1:15" x14ac:dyDescent="0.3">
      <c r="A986" t="s">
        <v>159</v>
      </c>
      <c r="B986" t="s">
        <v>1159</v>
      </c>
      <c r="C986" t="s">
        <v>2159</v>
      </c>
      <c r="D986" t="s">
        <v>3159</v>
      </c>
      <c r="E986" t="s">
        <v>4159</v>
      </c>
      <c r="F986">
        <v>35</v>
      </c>
      <c r="G986" t="s">
        <v>5016</v>
      </c>
      <c r="H986" t="s">
        <v>5022</v>
      </c>
      <c r="I986" t="s">
        <v>5025</v>
      </c>
      <c r="J986">
        <v>147755</v>
      </c>
      <c r="K986">
        <v>9</v>
      </c>
      <c r="L986" s="7">
        <v>45196</v>
      </c>
      <c r="M986" t="s">
        <v>5028</v>
      </c>
      <c r="N986">
        <v>9</v>
      </c>
      <c r="O986">
        <v>2037</v>
      </c>
    </row>
    <row r="987" spans="1:15" x14ac:dyDescent="0.3">
      <c r="A987" t="s">
        <v>709</v>
      </c>
      <c r="B987" t="s">
        <v>1709</v>
      </c>
      <c r="C987" t="s">
        <v>2709</v>
      </c>
      <c r="D987" t="s">
        <v>3709</v>
      </c>
      <c r="E987" t="s">
        <v>4709</v>
      </c>
      <c r="F987">
        <v>21</v>
      </c>
      <c r="G987" t="s">
        <v>5017</v>
      </c>
      <c r="H987" t="s">
        <v>5019</v>
      </c>
      <c r="I987" t="s">
        <v>5023</v>
      </c>
      <c r="J987">
        <v>147814</v>
      </c>
      <c r="K987">
        <v>54</v>
      </c>
      <c r="L987" s="7">
        <v>45123</v>
      </c>
      <c r="M987" t="s">
        <v>5028</v>
      </c>
      <c r="N987">
        <v>8</v>
      </c>
      <c r="O987">
        <v>5321</v>
      </c>
    </row>
    <row r="988" spans="1:15" x14ac:dyDescent="0.3">
      <c r="A988" t="s">
        <v>624</v>
      </c>
      <c r="B988" t="s">
        <v>1624</v>
      </c>
      <c r="C988" t="s">
        <v>2624</v>
      </c>
      <c r="D988" t="s">
        <v>3624</v>
      </c>
      <c r="E988" t="s">
        <v>4624</v>
      </c>
      <c r="F988">
        <v>50</v>
      </c>
      <c r="G988" t="s">
        <v>5016</v>
      </c>
      <c r="H988" t="s">
        <v>5018</v>
      </c>
      <c r="I988" t="s">
        <v>5024</v>
      </c>
      <c r="J988">
        <v>147867</v>
      </c>
      <c r="K988">
        <v>40</v>
      </c>
      <c r="L988" s="7">
        <v>45101</v>
      </c>
      <c r="M988" t="s">
        <v>5028</v>
      </c>
      <c r="N988">
        <v>10</v>
      </c>
      <c r="O988">
        <v>4937</v>
      </c>
    </row>
    <row r="989" spans="1:15" x14ac:dyDescent="0.3">
      <c r="A989" t="s">
        <v>35</v>
      </c>
      <c r="B989" t="s">
        <v>1035</v>
      </c>
      <c r="C989" t="s">
        <v>2035</v>
      </c>
      <c r="D989" t="s">
        <v>3035</v>
      </c>
      <c r="E989" t="s">
        <v>4035</v>
      </c>
      <c r="F989">
        <v>21</v>
      </c>
      <c r="G989" t="s">
        <v>5016</v>
      </c>
      <c r="H989" t="s">
        <v>5022</v>
      </c>
      <c r="I989" t="s">
        <v>5024</v>
      </c>
      <c r="J989">
        <v>148030</v>
      </c>
      <c r="K989">
        <v>30</v>
      </c>
      <c r="L989" s="7">
        <v>45174</v>
      </c>
      <c r="M989" t="s">
        <v>5028</v>
      </c>
      <c r="N989">
        <v>4</v>
      </c>
      <c r="O989">
        <v>7927</v>
      </c>
    </row>
    <row r="990" spans="1:15" x14ac:dyDescent="0.3">
      <c r="A990" t="s">
        <v>613</v>
      </c>
      <c r="B990" t="s">
        <v>1613</v>
      </c>
      <c r="C990" t="s">
        <v>2613</v>
      </c>
      <c r="D990" t="s">
        <v>3613</v>
      </c>
      <c r="E990" t="s">
        <v>4613</v>
      </c>
      <c r="F990">
        <v>28</v>
      </c>
      <c r="G990" t="s">
        <v>5017</v>
      </c>
      <c r="H990" t="s">
        <v>5018</v>
      </c>
      <c r="I990" t="s">
        <v>5027</v>
      </c>
      <c r="J990">
        <v>148049</v>
      </c>
      <c r="K990">
        <v>96</v>
      </c>
      <c r="L990" s="7">
        <v>45282</v>
      </c>
      <c r="M990" t="s">
        <v>5028</v>
      </c>
      <c r="N990">
        <v>3</v>
      </c>
      <c r="O990">
        <v>1013</v>
      </c>
    </row>
    <row r="991" spans="1:15" x14ac:dyDescent="0.3">
      <c r="A991" t="s">
        <v>915</v>
      </c>
      <c r="B991" t="s">
        <v>1915</v>
      </c>
      <c r="C991" t="s">
        <v>2915</v>
      </c>
      <c r="D991" t="s">
        <v>3915</v>
      </c>
      <c r="E991" t="s">
        <v>4915</v>
      </c>
      <c r="F991">
        <v>29</v>
      </c>
      <c r="G991" t="s">
        <v>5017</v>
      </c>
      <c r="H991" t="s">
        <v>5022</v>
      </c>
      <c r="I991" t="s">
        <v>5026</v>
      </c>
      <c r="J991">
        <v>148129</v>
      </c>
      <c r="K991">
        <v>17</v>
      </c>
      <c r="L991" s="7">
        <v>45086</v>
      </c>
      <c r="M991" t="s">
        <v>5028</v>
      </c>
      <c r="N991">
        <v>2</v>
      </c>
      <c r="O991">
        <v>5561</v>
      </c>
    </row>
    <row r="992" spans="1:15" x14ac:dyDescent="0.3">
      <c r="A992" t="s">
        <v>38</v>
      </c>
      <c r="B992" t="s">
        <v>1038</v>
      </c>
      <c r="C992" t="s">
        <v>2038</v>
      </c>
      <c r="D992" t="s">
        <v>3038</v>
      </c>
      <c r="E992" t="s">
        <v>4038</v>
      </c>
      <c r="F992">
        <v>61</v>
      </c>
      <c r="G992" t="s">
        <v>5015</v>
      </c>
      <c r="H992" t="s">
        <v>5021</v>
      </c>
      <c r="I992" t="s">
        <v>5024</v>
      </c>
      <c r="J992">
        <v>148486</v>
      </c>
      <c r="K992">
        <v>3</v>
      </c>
      <c r="L992" s="7">
        <v>45270</v>
      </c>
      <c r="M992" t="s">
        <v>5028</v>
      </c>
      <c r="N992">
        <v>9</v>
      </c>
      <c r="O992">
        <v>568</v>
      </c>
    </row>
    <row r="993" spans="1:15" x14ac:dyDescent="0.3">
      <c r="A993" t="s">
        <v>639</v>
      </c>
      <c r="B993" t="s">
        <v>1639</v>
      </c>
      <c r="C993" t="s">
        <v>2639</v>
      </c>
      <c r="D993" t="s">
        <v>3639</v>
      </c>
      <c r="E993" t="s">
        <v>4639</v>
      </c>
      <c r="F993">
        <v>50</v>
      </c>
      <c r="G993" t="s">
        <v>5015</v>
      </c>
      <c r="H993" t="s">
        <v>5020</v>
      </c>
      <c r="I993" t="s">
        <v>5024</v>
      </c>
      <c r="J993">
        <v>148501</v>
      </c>
      <c r="K993">
        <v>41</v>
      </c>
      <c r="L993" s="7">
        <v>45050</v>
      </c>
      <c r="M993" t="s">
        <v>5029</v>
      </c>
      <c r="N993">
        <v>6</v>
      </c>
      <c r="O993">
        <v>9650</v>
      </c>
    </row>
    <row r="994" spans="1:15" x14ac:dyDescent="0.3">
      <c r="A994" t="s">
        <v>350</v>
      </c>
      <c r="B994" t="s">
        <v>1350</v>
      </c>
      <c r="C994" t="s">
        <v>2350</v>
      </c>
      <c r="D994" t="s">
        <v>3350</v>
      </c>
      <c r="E994" t="s">
        <v>4350</v>
      </c>
      <c r="F994">
        <v>55</v>
      </c>
      <c r="G994" t="s">
        <v>5016</v>
      </c>
      <c r="H994" t="s">
        <v>5021</v>
      </c>
      <c r="I994" t="s">
        <v>5025</v>
      </c>
      <c r="J994">
        <v>148584</v>
      </c>
      <c r="K994">
        <v>80</v>
      </c>
      <c r="L994" s="7">
        <v>45102</v>
      </c>
      <c r="M994" t="s">
        <v>5029</v>
      </c>
      <c r="N994">
        <v>5</v>
      </c>
      <c r="O994">
        <v>5189</v>
      </c>
    </row>
    <row r="995" spans="1:15" x14ac:dyDescent="0.3">
      <c r="A995" t="s">
        <v>569</v>
      </c>
      <c r="B995" t="s">
        <v>1569</v>
      </c>
      <c r="C995" t="s">
        <v>2569</v>
      </c>
      <c r="D995" t="s">
        <v>3569</v>
      </c>
      <c r="E995" t="s">
        <v>4569</v>
      </c>
      <c r="F995">
        <v>45</v>
      </c>
      <c r="G995" t="s">
        <v>5017</v>
      </c>
      <c r="H995" t="s">
        <v>5020</v>
      </c>
      <c r="I995" t="s">
        <v>5027</v>
      </c>
      <c r="J995">
        <v>148686</v>
      </c>
      <c r="K995">
        <v>20</v>
      </c>
      <c r="L995" s="7">
        <v>45234</v>
      </c>
      <c r="M995" t="s">
        <v>5028</v>
      </c>
      <c r="N995">
        <v>7</v>
      </c>
      <c r="O995">
        <v>908</v>
      </c>
    </row>
    <row r="996" spans="1:15" x14ac:dyDescent="0.3">
      <c r="A996" t="s">
        <v>262</v>
      </c>
      <c r="B996" t="s">
        <v>1262</v>
      </c>
      <c r="C996" t="s">
        <v>2262</v>
      </c>
      <c r="D996" t="s">
        <v>3262</v>
      </c>
      <c r="E996" t="s">
        <v>4262</v>
      </c>
      <c r="F996">
        <v>34</v>
      </c>
      <c r="G996" t="s">
        <v>5017</v>
      </c>
      <c r="H996" t="s">
        <v>5022</v>
      </c>
      <c r="I996" t="s">
        <v>5023</v>
      </c>
      <c r="J996">
        <v>148790</v>
      </c>
      <c r="K996">
        <v>13</v>
      </c>
      <c r="L996" s="7">
        <v>45137</v>
      </c>
      <c r="M996" t="s">
        <v>5029</v>
      </c>
      <c r="N996">
        <v>1</v>
      </c>
      <c r="O996">
        <v>5472</v>
      </c>
    </row>
    <row r="997" spans="1:15" x14ac:dyDescent="0.3">
      <c r="A997" t="s">
        <v>282</v>
      </c>
      <c r="B997" t="s">
        <v>1282</v>
      </c>
      <c r="C997" t="s">
        <v>2282</v>
      </c>
      <c r="D997" t="s">
        <v>3282</v>
      </c>
      <c r="E997" t="s">
        <v>4282</v>
      </c>
      <c r="F997">
        <v>35</v>
      </c>
      <c r="G997" t="s">
        <v>5017</v>
      </c>
      <c r="H997" t="s">
        <v>5020</v>
      </c>
      <c r="I997" t="s">
        <v>5027</v>
      </c>
      <c r="J997">
        <v>148942</v>
      </c>
      <c r="K997">
        <v>90</v>
      </c>
      <c r="L997" s="7">
        <v>45291</v>
      </c>
      <c r="M997" t="s">
        <v>5030</v>
      </c>
      <c r="N997">
        <v>7</v>
      </c>
      <c r="O997">
        <v>4123</v>
      </c>
    </row>
    <row r="998" spans="1:15" x14ac:dyDescent="0.3">
      <c r="A998" t="s">
        <v>142</v>
      </c>
      <c r="B998" t="s">
        <v>1142</v>
      </c>
      <c r="C998" t="s">
        <v>2142</v>
      </c>
      <c r="D998" t="s">
        <v>3142</v>
      </c>
      <c r="E998" t="s">
        <v>4142</v>
      </c>
      <c r="F998">
        <v>48</v>
      </c>
      <c r="G998" t="s">
        <v>5017</v>
      </c>
      <c r="H998" t="s">
        <v>5020</v>
      </c>
      <c r="I998" t="s">
        <v>5025</v>
      </c>
      <c r="J998">
        <v>148964</v>
      </c>
      <c r="K998">
        <v>60</v>
      </c>
      <c r="L998" s="7">
        <v>45050</v>
      </c>
      <c r="M998" t="s">
        <v>5030</v>
      </c>
      <c r="N998">
        <v>7</v>
      </c>
      <c r="O998">
        <v>8102</v>
      </c>
    </row>
    <row r="999" spans="1:15" x14ac:dyDescent="0.3">
      <c r="A999" t="s">
        <v>809</v>
      </c>
      <c r="B999" t="s">
        <v>1809</v>
      </c>
      <c r="C999" t="s">
        <v>2809</v>
      </c>
      <c r="D999" t="s">
        <v>3809</v>
      </c>
      <c r="E999" t="s">
        <v>4809</v>
      </c>
      <c r="F999">
        <v>68</v>
      </c>
      <c r="G999" t="s">
        <v>5017</v>
      </c>
      <c r="H999" t="s">
        <v>5020</v>
      </c>
      <c r="I999" t="s">
        <v>5025</v>
      </c>
      <c r="J999">
        <v>149209</v>
      </c>
      <c r="K999">
        <v>74</v>
      </c>
      <c r="L999" s="7">
        <v>45077</v>
      </c>
      <c r="M999" t="s">
        <v>5030</v>
      </c>
      <c r="N999">
        <v>9</v>
      </c>
      <c r="O999">
        <v>7577</v>
      </c>
    </row>
    <row r="1000" spans="1:15" x14ac:dyDescent="0.3">
      <c r="A1000" t="s">
        <v>576</v>
      </c>
      <c r="B1000" t="s">
        <v>1576</v>
      </c>
      <c r="C1000" t="s">
        <v>2576</v>
      </c>
      <c r="D1000" t="s">
        <v>3576</v>
      </c>
      <c r="E1000" t="s">
        <v>4576</v>
      </c>
      <c r="F1000">
        <v>58</v>
      </c>
      <c r="G1000" t="s">
        <v>5017</v>
      </c>
      <c r="H1000" t="s">
        <v>5020</v>
      </c>
      <c r="I1000" t="s">
        <v>5027</v>
      </c>
      <c r="J1000">
        <v>149693</v>
      </c>
      <c r="K1000">
        <v>56</v>
      </c>
      <c r="L1000" s="7">
        <v>45089</v>
      </c>
      <c r="M1000" t="s">
        <v>5029</v>
      </c>
      <c r="N1000">
        <v>8</v>
      </c>
      <c r="O1000">
        <v>5624</v>
      </c>
    </row>
    <row r="1001" spans="1:15" x14ac:dyDescent="0.3">
      <c r="A1001" t="s">
        <v>873</v>
      </c>
      <c r="B1001" t="s">
        <v>1873</v>
      </c>
      <c r="C1001" t="s">
        <v>2873</v>
      </c>
      <c r="D1001" t="s">
        <v>3873</v>
      </c>
      <c r="E1001" t="s">
        <v>4873</v>
      </c>
      <c r="F1001">
        <v>57</v>
      </c>
      <c r="G1001" t="s">
        <v>5015</v>
      </c>
      <c r="H1001" t="s">
        <v>5018</v>
      </c>
      <c r="I1001" t="s">
        <v>5026</v>
      </c>
      <c r="J1001">
        <v>149787</v>
      </c>
      <c r="K1001">
        <v>45</v>
      </c>
      <c r="L1001" s="7">
        <v>44935</v>
      </c>
      <c r="M1001" t="s">
        <v>5030</v>
      </c>
      <c r="N1001">
        <v>6</v>
      </c>
      <c r="O1001">
        <v>9094</v>
      </c>
    </row>
  </sheetData>
  <autoFilter ref="A1:O1001" xr:uid="{00000000-0001-0000-0000-000000000000}">
    <sortState xmlns:xlrd2="http://schemas.microsoft.com/office/spreadsheetml/2017/richdata2" ref="A2:O1001">
      <sortCondition ref="J1:J1001"/>
    </sortState>
  </autoFilter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E3B68-3A6F-44AA-8BD9-3362CC6F29D3}">
  <sheetPr>
    <tabColor theme="3" tint="0.79998168889431442"/>
    <pageSetUpPr fitToPage="1"/>
  </sheetPr>
  <dimension ref="A1:GJ384"/>
  <sheetViews>
    <sheetView showGridLines="0" tabSelected="1" zoomScale="37" zoomScaleNormal="37" workbookViewId="0">
      <selection activeCell="R10" sqref="R10"/>
    </sheetView>
  </sheetViews>
  <sheetFormatPr defaultColWidth="12.109375" defaultRowHeight="15" x14ac:dyDescent="0.25"/>
  <cols>
    <col min="1" max="1" width="3.77734375" style="11" customWidth="1"/>
    <col min="2" max="2" width="90.44140625" style="11" bestFit="1" customWidth="1"/>
    <col min="3" max="3" width="31.44140625" style="11" bestFit="1" customWidth="1"/>
    <col min="4" max="13" width="21" style="11" customWidth="1"/>
    <col min="14" max="14" width="3.44140625" style="11" customWidth="1"/>
    <col min="15" max="16384" width="12.109375" style="11"/>
  </cols>
  <sheetData>
    <row r="1" spans="1:192" s="21" customFormat="1" ht="42" customHeight="1" x14ac:dyDescent="0.25">
      <c r="A1" s="22"/>
      <c r="B1" s="25" t="s">
        <v>5053</v>
      </c>
      <c r="C1" s="25"/>
      <c r="D1" s="25"/>
      <c r="E1" s="25"/>
      <c r="F1" s="25"/>
      <c r="G1" s="25"/>
      <c r="H1" s="25"/>
      <c r="I1" s="25"/>
      <c r="J1" s="25"/>
      <c r="K1" s="25"/>
      <c r="L1" s="25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B1" s="22"/>
      <c r="BC1" s="22"/>
      <c r="BD1" s="22"/>
      <c r="BE1" s="22"/>
      <c r="BF1" s="22"/>
      <c r="BG1" s="22"/>
      <c r="BH1" s="22"/>
      <c r="BI1" s="22"/>
      <c r="BJ1" s="22"/>
      <c r="BK1" s="22"/>
      <c r="BL1" s="22"/>
      <c r="BM1" s="22"/>
      <c r="BN1" s="22"/>
      <c r="BO1" s="22"/>
      <c r="BP1" s="22"/>
      <c r="BQ1" s="22"/>
      <c r="BR1" s="22"/>
      <c r="BS1" s="22"/>
      <c r="BT1" s="22"/>
      <c r="BU1" s="22"/>
      <c r="BV1" s="22"/>
      <c r="BW1" s="22"/>
      <c r="BX1" s="22"/>
      <c r="BY1" s="22"/>
      <c r="BZ1" s="22"/>
      <c r="CA1" s="22"/>
      <c r="CB1" s="22"/>
      <c r="CC1" s="22"/>
      <c r="CD1" s="22"/>
      <c r="CE1" s="22"/>
      <c r="CF1" s="22"/>
      <c r="CG1" s="22"/>
      <c r="CH1" s="22"/>
      <c r="CI1" s="22"/>
      <c r="CJ1" s="22"/>
      <c r="CK1" s="22"/>
      <c r="CL1" s="22"/>
      <c r="CM1" s="22"/>
      <c r="CN1" s="22"/>
      <c r="CO1" s="22"/>
      <c r="CP1" s="22"/>
      <c r="CQ1" s="22"/>
      <c r="CR1" s="22"/>
      <c r="CS1" s="22"/>
      <c r="CT1" s="22"/>
      <c r="CU1" s="22"/>
      <c r="CV1" s="22"/>
      <c r="CW1" s="22"/>
      <c r="CX1" s="22"/>
      <c r="CY1" s="22"/>
      <c r="CZ1" s="22"/>
      <c r="DA1" s="22"/>
      <c r="DB1" s="22"/>
      <c r="DC1" s="22"/>
      <c r="DD1" s="22"/>
      <c r="DE1" s="22"/>
      <c r="DF1" s="22"/>
      <c r="DG1" s="22"/>
      <c r="DH1" s="22"/>
      <c r="DI1" s="22"/>
      <c r="DJ1" s="22"/>
      <c r="DK1" s="22"/>
      <c r="DL1" s="22"/>
      <c r="DM1" s="22"/>
      <c r="DN1" s="22"/>
      <c r="DO1" s="22"/>
      <c r="DP1" s="22"/>
      <c r="DQ1" s="22"/>
      <c r="DR1" s="22"/>
      <c r="DS1" s="22"/>
      <c r="DT1" s="22"/>
      <c r="DU1" s="22"/>
      <c r="DV1" s="22"/>
      <c r="DW1" s="22"/>
      <c r="DX1" s="22"/>
      <c r="DY1" s="22"/>
      <c r="DZ1" s="22"/>
      <c r="EA1" s="22"/>
      <c r="EB1" s="22"/>
      <c r="EC1" s="22"/>
      <c r="ED1" s="22"/>
      <c r="EE1" s="22"/>
      <c r="EF1" s="22"/>
      <c r="EG1" s="22"/>
      <c r="EH1" s="22"/>
      <c r="EI1" s="22"/>
      <c r="EJ1" s="22"/>
      <c r="EK1" s="22"/>
      <c r="EL1" s="22"/>
      <c r="EM1" s="22"/>
      <c r="EN1" s="22"/>
      <c r="EO1" s="22"/>
      <c r="EP1" s="22"/>
      <c r="EQ1" s="22"/>
      <c r="ER1" s="22"/>
      <c r="ES1" s="22"/>
      <c r="ET1" s="22"/>
      <c r="EU1" s="22"/>
      <c r="EV1" s="22"/>
      <c r="EW1" s="22"/>
      <c r="EX1" s="22"/>
      <c r="EY1" s="22"/>
      <c r="EZ1" s="22"/>
      <c r="FA1" s="22"/>
      <c r="FB1" s="22"/>
      <c r="FC1" s="22"/>
      <c r="FD1" s="22"/>
      <c r="FE1" s="22"/>
      <c r="FF1" s="22"/>
      <c r="FG1" s="22"/>
      <c r="FH1" s="22"/>
      <c r="FI1" s="22"/>
      <c r="FJ1" s="22"/>
      <c r="FK1" s="22"/>
      <c r="FL1" s="22"/>
      <c r="FM1" s="22"/>
      <c r="FN1" s="22"/>
      <c r="FO1" s="22"/>
      <c r="FP1" s="22"/>
      <c r="FQ1" s="22"/>
      <c r="FR1" s="22"/>
      <c r="FS1" s="22"/>
      <c r="FT1" s="22"/>
      <c r="FU1" s="22"/>
      <c r="FV1" s="22"/>
      <c r="FW1" s="22"/>
      <c r="FX1" s="22"/>
      <c r="FY1" s="22"/>
      <c r="FZ1" s="22"/>
      <c r="GA1" s="22"/>
      <c r="GB1" s="22"/>
      <c r="GC1" s="22"/>
      <c r="GD1" s="22"/>
      <c r="GE1" s="22"/>
      <c r="GF1" s="22"/>
      <c r="GG1" s="22"/>
      <c r="GH1" s="22"/>
      <c r="GI1" s="22"/>
      <c r="GJ1" s="22"/>
    </row>
    <row r="2" spans="1:192" ht="35.1" customHeight="1" x14ac:dyDescent="0.25"/>
    <row r="3" spans="1:192" ht="99.6" customHeight="1" x14ac:dyDescent="0.25">
      <c r="B3" s="29" t="s">
        <v>5052</v>
      </c>
      <c r="C3" s="20"/>
      <c r="D3" s="20"/>
      <c r="E3" s="38" t="s">
        <v>5058</v>
      </c>
      <c r="G3" s="16"/>
    </row>
    <row r="4" spans="1:192" ht="99.6" customHeight="1" x14ac:dyDescent="0.25">
      <c r="B4" s="19" t="s">
        <v>5054</v>
      </c>
      <c r="C4" s="23">
        <v>1000</v>
      </c>
      <c r="E4" s="18"/>
    </row>
    <row r="5" spans="1:192" ht="99.6" customHeight="1" x14ac:dyDescent="0.25">
      <c r="B5" s="19" t="s">
        <v>5056</v>
      </c>
      <c r="C5" s="23">
        <v>86496639</v>
      </c>
      <c r="E5" s="18"/>
    </row>
    <row r="6" spans="1:192" ht="21" customHeight="1" x14ac:dyDescent="0.25">
      <c r="B6" s="30" t="s">
        <v>5057</v>
      </c>
      <c r="C6" s="34">
        <v>312</v>
      </c>
      <c r="E6" s="18"/>
    </row>
    <row r="7" spans="1:192" ht="35.1" customHeight="1" x14ac:dyDescent="0.25">
      <c r="B7" s="32"/>
      <c r="C7" s="35"/>
      <c r="E7" s="18"/>
    </row>
    <row r="8" spans="1:192" ht="39" customHeight="1" x14ac:dyDescent="0.25">
      <c r="B8" s="31"/>
      <c r="C8" s="33"/>
      <c r="D8" s="36"/>
      <c r="E8" s="18"/>
      <c r="F8" s="36"/>
      <c r="G8" s="36"/>
    </row>
    <row r="9" spans="1:192" ht="39" customHeight="1" x14ac:dyDescent="0.25">
      <c r="B9" s="30" t="s">
        <v>5055</v>
      </c>
      <c r="C9" s="34">
        <v>44.7</v>
      </c>
      <c r="E9" s="18"/>
      <c r="F9" s="37"/>
    </row>
    <row r="10" spans="1:192" ht="25.2" x14ac:dyDescent="0.25">
      <c r="B10" s="32"/>
      <c r="C10" s="35"/>
      <c r="E10" s="18"/>
      <c r="F10" s="37"/>
    </row>
    <row r="11" spans="1:192" ht="25.2" x14ac:dyDescent="0.25">
      <c r="B11" s="32"/>
      <c r="C11" s="35"/>
      <c r="D11" s="16"/>
      <c r="E11" s="18"/>
      <c r="F11" s="37"/>
    </row>
    <row r="12" spans="1:192" ht="25.2" x14ac:dyDescent="0.25">
      <c r="B12" s="31"/>
      <c r="C12" s="33"/>
      <c r="E12" s="18"/>
      <c r="F12" s="37"/>
    </row>
    <row r="13" spans="1:192" s="14" customFormat="1" ht="25.2" x14ac:dyDescent="0.25">
      <c r="B13" s="11"/>
      <c r="C13" s="11"/>
      <c r="D13" s="11"/>
      <c r="E13" s="27"/>
      <c r="F13" s="37"/>
      <c r="G13" s="11"/>
      <c r="H13" s="11"/>
      <c r="I13" s="11"/>
    </row>
    <row r="14" spans="1:192" ht="24" x14ac:dyDescent="0.25">
      <c r="A14" s="13"/>
      <c r="B14" s="26" t="s">
        <v>5059</v>
      </c>
      <c r="C14" s="14"/>
      <c r="D14" s="14"/>
      <c r="E14" s="28"/>
      <c r="F14" s="26" t="s">
        <v>5060</v>
      </c>
      <c r="G14" s="14"/>
      <c r="H14" s="14"/>
      <c r="I14" s="14"/>
      <c r="J14" s="14"/>
      <c r="K14" s="14"/>
      <c r="L14" s="14"/>
    </row>
    <row r="15" spans="1:192" ht="25.2" x14ac:dyDescent="0.25">
      <c r="A15" s="13"/>
      <c r="B15" s="26"/>
      <c r="E15" s="27"/>
      <c r="F15" s="17"/>
    </row>
    <row r="16" spans="1:192" ht="25.2" x14ac:dyDescent="0.25">
      <c r="A16" s="13"/>
      <c r="B16" s="26"/>
      <c r="F16" s="17"/>
    </row>
    <row r="17" spans="2:6" ht="25.2" x14ac:dyDescent="0.25">
      <c r="B17" s="26"/>
      <c r="F17" s="17"/>
    </row>
    <row r="18" spans="2:6" ht="25.2" x14ac:dyDescent="0.25">
      <c r="B18" s="26"/>
      <c r="F18" s="17"/>
    </row>
    <row r="19" spans="2:6" ht="25.2" x14ac:dyDescent="0.25">
      <c r="B19" s="26"/>
      <c r="F19" s="17"/>
    </row>
    <row r="20" spans="2:6" ht="25.2" x14ac:dyDescent="0.25">
      <c r="B20" s="26"/>
      <c r="F20" s="17"/>
    </row>
    <row r="21" spans="2:6" ht="25.2" x14ac:dyDescent="0.25">
      <c r="B21" s="26"/>
      <c r="F21" s="17"/>
    </row>
    <row r="22" spans="2:6" ht="25.2" x14ac:dyDescent="0.25">
      <c r="B22" s="26"/>
      <c r="F22" s="17"/>
    </row>
    <row r="23" spans="2:6" ht="25.2" x14ac:dyDescent="0.25">
      <c r="B23" s="26"/>
      <c r="F23" s="17"/>
    </row>
    <row r="24" spans="2:6" ht="25.8" thickBot="1" x14ac:dyDescent="0.3">
      <c r="B24" s="26"/>
      <c r="F24" s="17"/>
    </row>
    <row r="25" spans="2:6" ht="25.8" thickBot="1" x14ac:dyDescent="0.3">
      <c r="B25" s="26"/>
      <c r="C25" s="15"/>
      <c r="D25" s="15"/>
      <c r="F25" s="17"/>
    </row>
    <row r="26" spans="2:6" ht="30" customHeight="1" x14ac:dyDescent="0.25">
      <c r="B26" s="26"/>
      <c r="C26" s="15"/>
      <c r="D26" s="15"/>
      <c r="F26" s="17"/>
    </row>
    <row r="27" spans="2:6" ht="25.2" x14ac:dyDescent="0.25">
      <c r="B27" s="26"/>
      <c r="F27" s="17"/>
    </row>
    <row r="28" spans="2:6" ht="25.2" x14ac:dyDescent="0.25">
      <c r="B28" s="26"/>
      <c r="F28" s="17"/>
    </row>
    <row r="29" spans="2:6" ht="25.2" x14ac:dyDescent="0.25">
      <c r="B29" s="26"/>
      <c r="C29" s="12"/>
      <c r="F29" s="17"/>
    </row>
    <row r="30" spans="2:6" ht="25.2" x14ac:dyDescent="0.25">
      <c r="B30" s="26"/>
      <c r="F30" s="17"/>
    </row>
    <row r="31" spans="2:6" ht="25.2" x14ac:dyDescent="0.25">
      <c r="B31" s="26"/>
      <c r="F31" s="17"/>
    </row>
    <row r="32" spans="2:6" ht="25.2" x14ac:dyDescent="0.25">
      <c r="B32" s="26"/>
      <c r="F32" s="17"/>
    </row>
    <row r="33" spans="2:6" ht="25.2" x14ac:dyDescent="0.25">
      <c r="B33" s="26"/>
      <c r="F33" s="17"/>
    </row>
    <row r="34" spans="2:6" ht="24" x14ac:dyDescent="0.25">
      <c r="B34" s="26"/>
    </row>
    <row r="35" spans="2:6" ht="24" x14ac:dyDescent="0.25">
      <c r="B35" s="36"/>
    </row>
    <row r="36" spans="2:6" ht="24" x14ac:dyDescent="0.25">
      <c r="B36" s="36"/>
    </row>
    <row r="37" spans="2:6" ht="24" x14ac:dyDescent="0.25">
      <c r="B37" s="36"/>
    </row>
    <row r="38" spans="2:6" x14ac:dyDescent="0.25">
      <c r="B38" s="27"/>
    </row>
    <row r="48" spans="2:6" ht="15.6" x14ac:dyDescent="0.3">
      <c r="B48" s="2" t="s">
        <v>5036</v>
      </c>
      <c r="C48" t="s">
        <v>5047</v>
      </c>
      <c r="D48"/>
    </row>
    <row r="49" spans="2:4" ht="15.6" x14ac:dyDescent="0.3">
      <c r="B49" s="3" t="s">
        <v>5045</v>
      </c>
      <c r="C49" s="4"/>
      <c r="D49"/>
    </row>
    <row r="50" spans="2:4" ht="15.6" x14ac:dyDescent="0.3">
      <c r="B50" s="10" t="s">
        <v>5048</v>
      </c>
      <c r="C50" s="4"/>
      <c r="D50"/>
    </row>
    <row r="51" spans="2:4" ht="15.6" x14ac:dyDescent="0.3">
      <c r="B51" s="24" t="s">
        <v>5061</v>
      </c>
      <c r="C51" s="4">
        <v>4400</v>
      </c>
      <c r="D51"/>
    </row>
    <row r="52" spans="2:4" ht="15.6" x14ac:dyDescent="0.3">
      <c r="B52" s="24" t="s">
        <v>5062</v>
      </c>
      <c r="C52" s="4">
        <v>3524</v>
      </c>
      <c r="D52"/>
    </row>
    <row r="53" spans="2:4" ht="15.6" x14ac:dyDescent="0.3">
      <c r="B53" s="24" t="s">
        <v>5063</v>
      </c>
      <c r="C53" s="4">
        <v>5119</v>
      </c>
      <c r="D53"/>
    </row>
    <row r="54" spans="2:4" ht="15.6" x14ac:dyDescent="0.3">
      <c r="B54" s="10" t="s">
        <v>5049</v>
      </c>
      <c r="C54" s="4"/>
      <c r="D54"/>
    </row>
    <row r="55" spans="2:4" ht="15.6" x14ac:dyDescent="0.3">
      <c r="B55" s="24" t="s">
        <v>5064</v>
      </c>
      <c r="C55" s="4">
        <v>3838</v>
      </c>
      <c r="D55"/>
    </row>
    <row r="56" spans="2:4" ht="15.6" x14ac:dyDescent="0.3">
      <c r="B56" s="24" t="s">
        <v>5065</v>
      </c>
      <c r="C56" s="4">
        <v>4492</v>
      </c>
      <c r="D56"/>
    </row>
    <row r="57" spans="2:4" ht="15.6" x14ac:dyDescent="0.3">
      <c r="B57" s="24" t="s">
        <v>5066</v>
      </c>
      <c r="C57" s="4">
        <v>3900</v>
      </c>
      <c r="D57"/>
    </row>
    <row r="58" spans="2:4" ht="15.6" x14ac:dyDescent="0.3">
      <c r="B58" s="10" t="s">
        <v>5050</v>
      </c>
      <c r="C58" s="4"/>
      <c r="D58"/>
    </row>
    <row r="59" spans="2:4" ht="15.6" x14ac:dyDescent="0.3">
      <c r="B59" s="24" t="s">
        <v>5067</v>
      </c>
      <c r="C59" s="4">
        <v>3687</v>
      </c>
      <c r="D59"/>
    </row>
    <row r="60" spans="2:4" ht="15.6" x14ac:dyDescent="0.3">
      <c r="B60" s="24" t="s">
        <v>5068</v>
      </c>
      <c r="C60" s="4">
        <v>2891</v>
      </c>
      <c r="D60"/>
    </row>
    <row r="61" spans="2:4" ht="15.6" x14ac:dyDescent="0.3">
      <c r="B61" s="24" t="s">
        <v>5069</v>
      </c>
      <c r="C61" s="4">
        <v>3328</v>
      </c>
      <c r="D61"/>
    </row>
    <row r="62" spans="2:4" ht="15.6" x14ac:dyDescent="0.3">
      <c r="B62" s="10" t="s">
        <v>5051</v>
      </c>
      <c r="C62" s="4"/>
      <c r="D62"/>
    </row>
    <row r="63" spans="2:4" ht="15.6" x14ac:dyDescent="0.3">
      <c r="B63" s="24" t="s">
        <v>5070</v>
      </c>
      <c r="C63" s="4">
        <v>4347</v>
      </c>
      <c r="D63"/>
    </row>
    <row r="64" spans="2:4" ht="15.6" x14ac:dyDescent="0.3">
      <c r="B64" s="24" t="s">
        <v>5071</v>
      </c>
      <c r="C64" s="4">
        <v>3997</v>
      </c>
      <c r="D64"/>
    </row>
    <row r="65" spans="2:4" ht="15.6" x14ac:dyDescent="0.3">
      <c r="B65" s="24" t="s">
        <v>5072</v>
      </c>
      <c r="C65" s="4">
        <v>4579</v>
      </c>
      <c r="D65"/>
    </row>
    <row r="66" spans="2:4" ht="15.6" x14ac:dyDescent="0.3">
      <c r="B66" s="3" t="s">
        <v>5046</v>
      </c>
      <c r="C66" s="4"/>
    </row>
    <row r="67" spans="2:4" ht="15.6" x14ac:dyDescent="0.3">
      <c r="B67" s="10" t="s">
        <v>5048</v>
      </c>
      <c r="C67" s="4"/>
    </row>
    <row r="68" spans="2:4" ht="15.6" x14ac:dyDescent="0.3">
      <c r="B68" s="24" t="s">
        <v>5061</v>
      </c>
      <c r="C68" s="4">
        <v>305</v>
      </c>
    </row>
    <row r="69" spans="2:4" ht="15.6" x14ac:dyDescent="0.3">
      <c r="B69" s="3" t="s">
        <v>5037</v>
      </c>
      <c r="C69" s="4">
        <v>48407</v>
      </c>
    </row>
    <row r="70" spans="2:4" ht="15.6" x14ac:dyDescent="0.3">
      <c r="B70"/>
    </row>
    <row r="71" spans="2:4" ht="15.6" x14ac:dyDescent="0.3">
      <c r="B71"/>
    </row>
    <row r="72" spans="2:4" ht="15.6" x14ac:dyDescent="0.3">
      <c r="B72"/>
    </row>
    <row r="73" spans="2:4" ht="15.6" x14ac:dyDescent="0.3">
      <c r="B73"/>
    </row>
    <row r="74" spans="2:4" ht="15.6" x14ac:dyDescent="0.3">
      <c r="B74"/>
    </row>
    <row r="75" spans="2:4" ht="15.6" x14ac:dyDescent="0.3">
      <c r="B75"/>
    </row>
    <row r="76" spans="2:4" ht="15.6" x14ac:dyDescent="0.3">
      <c r="B76"/>
    </row>
    <row r="77" spans="2:4" ht="15.6" x14ac:dyDescent="0.3">
      <c r="B77"/>
    </row>
    <row r="78" spans="2:4" ht="15.6" x14ac:dyDescent="0.3">
      <c r="B78"/>
    </row>
    <row r="79" spans="2:4" ht="15.6" x14ac:dyDescent="0.3">
      <c r="B79"/>
    </row>
    <row r="80" spans="2:4" ht="15.6" x14ac:dyDescent="0.3">
      <c r="B80"/>
    </row>
    <row r="81" spans="2:2" ht="15.6" x14ac:dyDescent="0.3">
      <c r="B81"/>
    </row>
    <row r="82" spans="2:2" ht="15.6" x14ac:dyDescent="0.3">
      <c r="B82"/>
    </row>
    <row r="83" spans="2:2" ht="15.6" x14ac:dyDescent="0.3">
      <c r="B83"/>
    </row>
    <row r="84" spans="2:2" ht="15.6" x14ac:dyDescent="0.3">
      <c r="B84"/>
    </row>
    <row r="85" spans="2:2" ht="15.6" x14ac:dyDescent="0.3">
      <c r="B85"/>
    </row>
    <row r="86" spans="2:2" ht="15.6" x14ac:dyDescent="0.3">
      <c r="B86"/>
    </row>
    <row r="87" spans="2:2" ht="15.6" x14ac:dyDescent="0.3">
      <c r="B87"/>
    </row>
    <row r="88" spans="2:2" ht="15.6" x14ac:dyDescent="0.3">
      <c r="B88"/>
    </row>
    <row r="89" spans="2:2" ht="15.6" x14ac:dyDescent="0.3">
      <c r="B89"/>
    </row>
    <row r="90" spans="2:2" ht="15.6" x14ac:dyDescent="0.3">
      <c r="B90"/>
    </row>
    <row r="91" spans="2:2" ht="15.6" x14ac:dyDescent="0.3">
      <c r="B91"/>
    </row>
    <row r="92" spans="2:2" ht="15.6" x14ac:dyDescent="0.3">
      <c r="B92"/>
    </row>
    <row r="93" spans="2:2" ht="15.6" x14ac:dyDescent="0.3">
      <c r="B93"/>
    </row>
    <row r="94" spans="2:2" ht="15.6" x14ac:dyDescent="0.3">
      <c r="B94"/>
    </row>
    <row r="95" spans="2:2" ht="15.6" x14ac:dyDescent="0.3">
      <c r="B95"/>
    </row>
    <row r="96" spans="2:2" ht="15.6" x14ac:dyDescent="0.3">
      <c r="B96"/>
    </row>
    <row r="97" spans="2:2" ht="15.6" x14ac:dyDescent="0.3">
      <c r="B97"/>
    </row>
    <row r="98" spans="2:2" ht="15.6" x14ac:dyDescent="0.3">
      <c r="B98"/>
    </row>
    <row r="99" spans="2:2" ht="15.6" x14ac:dyDescent="0.3">
      <c r="B99"/>
    </row>
    <row r="100" spans="2:2" ht="15.6" x14ac:dyDescent="0.3">
      <c r="B100"/>
    </row>
    <row r="101" spans="2:2" ht="15.6" x14ac:dyDescent="0.3">
      <c r="B101"/>
    </row>
    <row r="102" spans="2:2" ht="15.6" x14ac:dyDescent="0.3">
      <c r="B102"/>
    </row>
    <row r="103" spans="2:2" ht="15.6" x14ac:dyDescent="0.3">
      <c r="B103"/>
    </row>
    <row r="104" spans="2:2" ht="15.6" x14ac:dyDescent="0.3">
      <c r="B104"/>
    </row>
    <row r="105" spans="2:2" ht="15.6" x14ac:dyDescent="0.3">
      <c r="B105"/>
    </row>
    <row r="106" spans="2:2" ht="15.6" x14ac:dyDescent="0.3">
      <c r="B106"/>
    </row>
    <row r="107" spans="2:2" ht="15.6" x14ac:dyDescent="0.3">
      <c r="B107"/>
    </row>
    <row r="108" spans="2:2" ht="15.6" x14ac:dyDescent="0.3">
      <c r="B108"/>
    </row>
    <row r="109" spans="2:2" ht="15.6" x14ac:dyDescent="0.3">
      <c r="B109"/>
    </row>
    <row r="110" spans="2:2" ht="15.6" x14ac:dyDescent="0.3">
      <c r="B110"/>
    </row>
    <row r="111" spans="2:2" ht="15.6" x14ac:dyDescent="0.3">
      <c r="B111"/>
    </row>
    <row r="112" spans="2:2" ht="15.6" x14ac:dyDescent="0.3">
      <c r="B112"/>
    </row>
    <row r="113" spans="2:2" ht="15.6" x14ac:dyDescent="0.3">
      <c r="B113"/>
    </row>
    <row r="114" spans="2:2" ht="15.6" x14ac:dyDescent="0.3">
      <c r="B114"/>
    </row>
    <row r="115" spans="2:2" ht="15.6" x14ac:dyDescent="0.3">
      <c r="B115"/>
    </row>
    <row r="116" spans="2:2" ht="15.6" x14ac:dyDescent="0.3">
      <c r="B116"/>
    </row>
    <row r="117" spans="2:2" ht="15.6" x14ac:dyDescent="0.3">
      <c r="B117"/>
    </row>
    <row r="118" spans="2:2" ht="15.6" x14ac:dyDescent="0.3">
      <c r="B118"/>
    </row>
    <row r="119" spans="2:2" ht="15.6" x14ac:dyDescent="0.3">
      <c r="B119"/>
    </row>
    <row r="120" spans="2:2" ht="15.6" x14ac:dyDescent="0.3">
      <c r="B120"/>
    </row>
    <row r="121" spans="2:2" ht="15.6" x14ac:dyDescent="0.3">
      <c r="B121"/>
    </row>
    <row r="122" spans="2:2" ht="15.6" x14ac:dyDescent="0.3">
      <c r="B122"/>
    </row>
    <row r="123" spans="2:2" ht="15.6" x14ac:dyDescent="0.3">
      <c r="B123"/>
    </row>
    <row r="124" spans="2:2" ht="15.6" x14ac:dyDescent="0.3">
      <c r="B124"/>
    </row>
    <row r="125" spans="2:2" ht="15.6" x14ac:dyDescent="0.3">
      <c r="B125"/>
    </row>
    <row r="126" spans="2:2" ht="15.6" x14ac:dyDescent="0.3">
      <c r="B126"/>
    </row>
    <row r="127" spans="2:2" ht="15.6" x14ac:dyDescent="0.3">
      <c r="B127"/>
    </row>
    <row r="128" spans="2:2" ht="15.6" x14ac:dyDescent="0.3">
      <c r="B128"/>
    </row>
    <row r="129" spans="2:2" ht="15.6" x14ac:dyDescent="0.3">
      <c r="B129"/>
    </row>
    <row r="130" spans="2:2" ht="15.6" x14ac:dyDescent="0.3">
      <c r="B130"/>
    </row>
    <row r="131" spans="2:2" ht="15.6" x14ac:dyDescent="0.3">
      <c r="B131"/>
    </row>
    <row r="132" spans="2:2" ht="15.6" x14ac:dyDescent="0.3">
      <c r="B132"/>
    </row>
    <row r="133" spans="2:2" ht="15.6" x14ac:dyDescent="0.3">
      <c r="B133"/>
    </row>
    <row r="134" spans="2:2" ht="15.6" x14ac:dyDescent="0.3">
      <c r="B134"/>
    </row>
    <row r="135" spans="2:2" ht="15.6" x14ac:dyDescent="0.3">
      <c r="B135"/>
    </row>
    <row r="136" spans="2:2" ht="15.6" x14ac:dyDescent="0.3">
      <c r="B136"/>
    </row>
    <row r="137" spans="2:2" ht="15.6" x14ac:dyDescent="0.3">
      <c r="B137"/>
    </row>
    <row r="138" spans="2:2" ht="15.6" x14ac:dyDescent="0.3">
      <c r="B138"/>
    </row>
    <row r="139" spans="2:2" ht="15.6" x14ac:dyDescent="0.3">
      <c r="B139"/>
    </row>
    <row r="140" spans="2:2" ht="15.6" x14ac:dyDescent="0.3">
      <c r="B140"/>
    </row>
    <row r="141" spans="2:2" ht="15.6" x14ac:dyDescent="0.3">
      <c r="B141"/>
    </row>
    <row r="142" spans="2:2" ht="15.6" x14ac:dyDescent="0.3">
      <c r="B142"/>
    </row>
    <row r="143" spans="2:2" ht="15.6" x14ac:dyDescent="0.3">
      <c r="B143"/>
    </row>
    <row r="144" spans="2:2" ht="15.6" x14ac:dyDescent="0.3">
      <c r="B144"/>
    </row>
    <row r="145" spans="2:2" ht="15.6" x14ac:dyDescent="0.3">
      <c r="B145"/>
    </row>
    <row r="146" spans="2:2" ht="15.6" x14ac:dyDescent="0.3">
      <c r="B146"/>
    </row>
    <row r="147" spans="2:2" ht="15.6" x14ac:dyDescent="0.3">
      <c r="B147"/>
    </row>
    <row r="148" spans="2:2" ht="15.6" x14ac:dyDescent="0.3">
      <c r="B148"/>
    </row>
    <row r="149" spans="2:2" ht="15.6" x14ac:dyDescent="0.3">
      <c r="B149"/>
    </row>
    <row r="150" spans="2:2" ht="15.6" x14ac:dyDescent="0.3">
      <c r="B150"/>
    </row>
    <row r="151" spans="2:2" ht="15.6" x14ac:dyDescent="0.3">
      <c r="B151"/>
    </row>
    <row r="152" spans="2:2" ht="15.6" x14ac:dyDescent="0.3">
      <c r="B152"/>
    </row>
    <row r="153" spans="2:2" ht="15.6" x14ac:dyDescent="0.3">
      <c r="B153"/>
    </row>
    <row r="154" spans="2:2" ht="15.6" x14ac:dyDescent="0.3">
      <c r="B154"/>
    </row>
    <row r="155" spans="2:2" ht="15.6" x14ac:dyDescent="0.3">
      <c r="B155"/>
    </row>
    <row r="156" spans="2:2" ht="15.6" x14ac:dyDescent="0.3">
      <c r="B156"/>
    </row>
    <row r="157" spans="2:2" ht="15.6" x14ac:dyDescent="0.3">
      <c r="B157"/>
    </row>
    <row r="158" spans="2:2" ht="15.6" x14ac:dyDescent="0.3">
      <c r="B158"/>
    </row>
    <row r="159" spans="2:2" ht="15.6" x14ac:dyDescent="0.3">
      <c r="B159"/>
    </row>
    <row r="160" spans="2:2" ht="15.6" x14ac:dyDescent="0.3">
      <c r="B160"/>
    </row>
    <row r="161" spans="2:2" ht="15.6" x14ac:dyDescent="0.3">
      <c r="B161"/>
    </row>
    <row r="162" spans="2:2" ht="15.6" x14ac:dyDescent="0.3">
      <c r="B162"/>
    </row>
    <row r="163" spans="2:2" ht="15.6" x14ac:dyDescent="0.3">
      <c r="B163"/>
    </row>
    <row r="164" spans="2:2" ht="15.6" x14ac:dyDescent="0.3">
      <c r="B164"/>
    </row>
    <row r="165" spans="2:2" ht="15.6" x14ac:dyDescent="0.3">
      <c r="B165"/>
    </row>
    <row r="166" spans="2:2" ht="15.6" x14ac:dyDescent="0.3">
      <c r="B166"/>
    </row>
    <row r="167" spans="2:2" ht="15.6" x14ac:dyDescent="0.3">
      <c r="B167"/>
    </row>
    <row r="168" spans="2:2" ht="15.6" x14ac:dyDescent="0.3">
      <c r="B168"/>
    </row>
    <row r="169" spans="2:2" ht="15.6" x14ac:dyDescent="0.3">
      <c r="B169"/>
    </row>
    <row r="170" spans="2:2" ht="15.6" x14ac:dyDescent="0.3">
      <c r="B170"/>
    </row>
    <row r="171" spans="2:2" ht="15.6" x14ac:dyDescent="0.3">
      <c r="B171"/>
    </row>
    <row r="172" spans="2:2" ht="15.6" x14ac:dyDescent="0.3">
      <c r="B172"/>
    </row>
    <row r="173" spans="2:2" ht="15.6" x14ac:dyDescent="0.3">
      <c r="B173"/>
    </row>
    <row r="174" spans="2:2" ht="15.6" x14ac:dyDescent="0.3">
      <c r="B174"/>
    </row>
    <row r="175" spans="2:2" ht="15.6" x14ac:dyDescent="0.3">
      <c r="B175"/>
    </row>
    <row r="176" spans="2:2" ht="15.6" x14ac:dyDescent="0.3">
      <c r="B176"/>
    </row>
    <row r="177" spans="2:2" ht="15.6" x14ac:dyDescent="0.3">
      <c r="B177"/>
    </row>
    <row r="178" spans="2:2" ht="15.6" x14ac:dyDescent="0.3">
      <c r="B178"/>
    </row>
    <row r="179" spans="2:2" ht="15.6" x14ac:dyDescent="0.3">
      <c r="B179"/>
    </row>
    <row r="180" spans="2:2" ht="15.6" x14ac:dyDescent="0.3">
      <c r="B180"/>
    </row>
    <row r="181" spans="2:2" ht="15.6" x14ac:dyDescent="0.3">
      <c r="B181"/>
    </row>
    <row r="182" spans="2:2" ht="15.6" x14ac:dyDescent="0.3">
      <c r="B182"/>
    </row>
    <row r="183" spans="2:2" ht="15.6" x14ac:dyDescent="0.3">
      <c r="B183"/>
    </row>
    <row r="184" spans="2:2" ht="15.6" x14ac:dyDescent="0.3">
      <c r="B184"/>
    </row>
    <row r="185" spans="2:2" ht="15.6" x14ac:dyDescent="0.3">
      <c r="B185"/>
    </row>
    <row r="186" spans="2:2" ht="15.6" x14ac:dyDescent="0.3">
      <c r="B186"/>
    </row>
    <row r="187" spans="2:2" ht="15.6" x14ac:dyDescent="0.3">
      <c r="B187"/>
    </row>
    <row r="188" spans="2:2" ht="15.6" x14ac:dyDescent="0.3">
      <c r="B188"/>
    </row>
    <row r="189" spans="2:2" ht="15.6" x14ac:dyDescent="0.3">
      <c r="B189"/>
    </row>
    <row r="190" spans="2:2" ht="15.6" x14ac:dyDescent="0.3">
      <c r="B190"/>
    </row>
    <row r="191" spans="2:2" ht="15.6" x14ac:dyDescent="0.3">
      <c r="B191"/>
    </row>
    <row r="192" spans="2:2" ht="15.6" x14ac:dyDescent="0.3">
      <c r="B192"/>
    </row>
    <row r="193" spans="2:2" ht="15.6" x14ac:dyDescent="0.3">
      <c r="B193"/>
    </row>
    <row r="194" spans="2:2" ht="15.6" x14ac:dyDescent="0.3">
      <c r="B194"/>
    </row>
    <row r="195" spans="2:2" ht="15.6" x14ac:dyDescent="0.3">
      <c r="B195"/>
    </row>
    <row r="196" spans="2:2" ht="15.6" x14ac:dyDescent="0.3">
      <c r="B196"/>
    </row>
    <row r="197" spans="2:2" ht="15.6" x14ac:dyDescent="0.3">
      <c r="B197"/>
    </row>
    <row r="198" spans="2:2" ht="15.6" x14ac:dyDescent="0.3">
      <c r="B198"/>
    </row>
    <row r="199" spans="2:2" ht="15.6" x14ac:dyDescent="0.3">
      <c r="B199"/>
    </row>
    <row r="200" spans="2:2" ht="15.6" x14ac:dyDescent="0.3">
      <c r="B200"/>
    </row>
    <row r="201" spans="2:2" ht="15.6" x14ac:dyDescent="0.3">
      <c r="B201"/>
    </row>
    <row r="202" spans="2:2" ht="15.6" x14ac:dyDescent="0.3">
      <c r="B202"/>
    </row>
    <row r="203" spans="2:2" ht="15.6" x14ac:dyDescent="0.3">
      <c r="B203"/>
    </row>
    <row r="204" spans="2:2" ht="15.6" x14ac:dyDescent="0.3">
      <c r="B204"/>
    </row>
    <row r="205" spans="2:2" ht="15.6" x14ac:dyDescent="0.3">
      <c r="B205"/>
    </row>
    <row r="206" spans="2:2" ht="15.6" x14ac:dyDescent="0.3">
      <c r="B206"/>
    </row>
    <row r="207" spans="2:2" ht="15.6" x14ac:dyDescent="0.3">
      <c r="B207"/>
    </row>
    <row r="208" spans="2:2" ht="15.6" x14ac:dyDescent="0.3">
      <c r="B208"/>
    </row>
    <row r="209" spans="2:2" ht="15.6" x14ac:dyDescent="0.3">
      <c r="B209"/>
    </row>
    <row r="210" spans="2:2" ht="15.6" x14ac:dyDescent="0.3">
      <c r="B210"/>
    </row>
    <row r="211" spans="2:2" ht="15.6" x14ac:dyDescent="0.3">
      <c r="B211"/>
    </row>
    <row r="212" spans="2:2" ht="15.6" x14ac:dyDescent="0.3">
      <c r="B212"/>
    </row>
    <row r="213" spans="2:2" ht="15.6" x14ac:dyDescent="0.3">
      <c r="B213"/>
    </row>
    <row r="214" spans="2:2" ht="15.6" x14ac:dyDescent="0.3">
      <c r="B214"/>
    </row>
    <row r="215" spans="2:2" ht="15.6" x14ac:dyDescent="0.3">
      <c r="B215"/>
    </row>
    <row r="216" spans="2:2" ht="15.6" x14ac:dyDescent="0.3">
      <c r="B216"/>
    </row>
    <row r="217" spans="2:2" ht="15.6" x14ac:dyDescent="0.3">
      <c r="B217"/>
    </row>
    <row r="218" spans="2:2" ht="15.6" x14ac:dyDescent="0.3">
      <c r="B218"/>
    </row>
    <row r="219" spans="2:2" ht="15.6" x14ac:dyDescent="0.3">
      <c r="B219"/>
    </row>
    <row r="220" spans="2:2" ht="15.6" x14ac:dyDescent="0.3">
      <c r="B220"/>
    </row>
    <row r="221" spans="2:2" ht="15.6" x14ac:dyDescent="0.3">
      <c r="B221"/>
    </row>
    <row r="222" spans="2:2" ht="15.6" x14ac:dyDescent="0.3">
      <c r="B222"/>
    </row>
    <row r="223" spans="2:2" ht="15.6" x14ac:dyDescent="0.3">
      <c r="B223"/>
    </row>
    <row r="224" spans="2:2" ht="15.6" x14ac:dyDescent="0.3">
      <c r="B224"/>
    </row>
    <row r="225" spans="2:2" ht="15.6" x14ac:dyDescent="0.3">
      <c r="B225"/>
    </row>
    <row r="226" spans="2:2" ht="15.6" x14ac:dyDescent="0.3">
      <c r="B226"/>
    </row>
    <row r="227" spans="2:2" ht="15.6" x14ac:dyDescent="0.3">
      <c r="B227"/>
    </row>
    <row r="228" spans="2:2" ht="15.6" x14ac:dyDescent="0.3">
      <c r="B228"/>
    </row>
    <row r="229" spans="2:2" ht="15.6" x14ac:dyDescent="0.3">
      <c r="B229"/>
    </row>
    <row r="230" spans="2:2" ht="15.6" x14ac:dyDescent="0.3">
      <c r="B230"/>
    </row>
    <row r="231" spans="2:2" ht="15.6" x14ac:dyDescent="0.3">
      <c r="B231"/>
    </row>
    <row r="232" spans="2:2" ht="15.6" x14ac:dyDescent="0.3">
      <c r="B232"/>
    </row>
    <row r="233" spans="2:2" ht="15.6" x14ac:dyDescent="0.3">
      <c r="B233"/>
    </row>
    <row r="234" spans="2:2" ht="15.6" x14ac:dyDescent="0.3">
      <c r="B234"/>
    </row>
    <row r="235" spans="2:2" ht="15.6" x14ac:dyDescent="0.3">
      <c r="B235"/>
    </row>
    <row r="236" spans="2:2" ht="15.6" x14ac:dyDescent="0.3">
      <c r="B236"/>
    </row>
    <row r="237" spans="2:2" ht="15.6" x14ac:dyDescent="0.3">
      <c r="B237"/>
    </row>
    <row r="238" spans="2:2" ht="15.6" x14ac:dyDescent="0.3">
      <c r="B238"/>
    </row>
    <row r="239" spans="2:2" ht="15.6" x14ac:dyDescent="0.3">
      <c r="B239"/>
    </row>
    <row r="240" spans="2:2" ht="15.6" x14ac:dyDescent="0.3">
      <c r="B240"/>
    </row>
    <row r="241" spans="2:2" ht="15.6" x14ac:dyDescent="0.3">
      <c r="B241"/>
    </row>
    <row r="242" spans="2:2" ht="15.6" x14ac:dyDescent="0.3">
      <c r="B242"/>
    </row>
    <row r="243" spans="2:2" ht="15.6" x14ac:dyDescent="0.3">
      <c r="B243"/>
    </row>
    <row r="244" spans="2:2" ht="15.6" x14ac:dyDescent="0.3">
      <c r="B244"/>
    </row>
    <row r="245" spans="2:2" ht="15.6" x14ac:dyDescent="0.3">
      <c r="B245"/>
    </row>
    <row r="246" spans="2:2" ht="15.6" x14ac:dyDescent="0.3">
      <c r="B246"/>
    </row>
    <row r="247" spans="2:2" ht="15.6" x14ac:dyDescent="0.3">
      <c r="B247"/>
    </row>
    <row r="248" spans="2:2" ht="15.6" x14ac:dyDescent="0.3">
      <c r="B248"/>
    </row>
    <row r="249" spans="2:2" ht="15.6" x14ac:dyDescent="0.3">
      <c r="B249"/>
    </row>
    <row r="250" spans="2:2" ht="15.6" x14ac:dyDescent="0.3">
      <c r="B250"/>
    </row>
    <row r="251" spans="2:2" ht="15.6" x14ac:dyDescent="0.3">
      <c r="B251"/>
    </row>
    <row r="252" spans="2:2" ht="15.6" x14ac:dyDescent="0.3">
      <c r="B252"/>
    </row>
    <row r="253" spans="2:2" ht="15.6" x14ac:dyDescent="0.3">
      <c r="B253"/>
    </row>
    <row r="254" spans="2:2" ht="15.6" x14ac:dyDescent="0.3">
      <c r="B254"/>
    </row>
    <row r="255" spans="2:2" ht="15.6" x14ac:dyDescent="0.3">
      <c r="B255"/>
    </row>
    <row r="256" spans="2:2" ht="15.6" x14ac:dyDescent="0.3">
      <c r="B256"/>
    </row>
    <row r="257" spans="2:2" ht="15.6" x14ac:dyDescent="0.3">
      <c r="B257"/>
    </row>
    <row r="258" spans="2:2" ht="15.6" x14ac:dyDescent="0.3">
      <c r="B258"/>
    </row>
    <row r="259" spans="2:2" ht="15.6" x14ac:dyDescent="0.3">
      <c r="B259"/>
    </row>
    <row r="260" spans="2:2" ht="15.6" x14ac:dyDescent="0.3">
      <c r="B260"/>
    </row>
    <row r="261" spans="2:2" ht="15.6" x14ac:dyDescent="0.3">
      <c r="B261"/>
    </row>
    <row r="262" spans="2:2" ht="15.6" x14ac:dyDescent="0.3">
      <c r="B262"/>
    </row>
    <row r="263" spans="2:2" ht="15.6" x14ac:dyDescent="0.3">
      <c r="B263"/>
    </row>
    <row r="264" spans="2:2" ht="15.6" x14ac:dyDescent="0.3">
      <c r="B264"/>
    </row>
    <row r="265" spans="2:2" ht="15.6" x14ac:dyDescent="0.3">
      <c r="B265"/>
    </row>
    <row r="266" spans="2:2" ht="15.6" x14ac:dyDescent="0.3">
      <c r="B266"/>
    </row>
    <row r="267" spans="2:2" ht="15.6" x14ac:dyDescent="0.3">
      <c r="B267"/>
    </row>
    <row r="268" spans="2:2" ht="15.6" x14ac:dyDescent="0.3">
      <c r="B268"/>
    </row>
    <row r="269" spans="2:2" ht="15.6" x14ac:dyDescent="0.3">
      <c r="B269"/>
    </row>
    <row r="270" spans="2:2" ht="15.6" x14ac:dyDescent="0.3">
      <c r="B270"/>
    </row>
    <row r="271" spans="2:2" ht="15.6" x14ac:dyDescent="0.3">
      <c r="B271"/>
    </row>
    <row r="272" spans="2:2" ht="15.6" x14ac:dyDescent="0.3">
      <c r="B272"/>
    </row>
    <row r="273" spans="2:2" ht="15.6" x14ac:dyDescent="0.3">
      <c r="B273"/>
    </row>
    <row r="274" spans="2:2" ht="15.6" x14ac:dyDescent="0.3">
      <c r="B274"/>
    </row>
    <row r="275" spans="2:2" ht="15.6" x14ac:dyDescent="0.3">
      <c r="B275"/>
    </row>
    <row r="276" spans="2:2" ht="15.6" x14ac:dyDescent="0.3">
      <c r="B276"/>
    </row>
    <row r="277" spans="2:2" ht="15.6" x14ac:dyDescent="0.3">
      <c r="B277"/>
    </row>
    <row r="278" spans="2:2" ht="15.6" x14ac:dyDescent="0.3">
      <c r="B278"/>
    </row>
    <row r="279" spans="2:2" ht="15.6" x14ac:dyDescent="0.3">
      <c r="B279"/>
    </row>
    <row r="280" spans="2:2" ht="15.6" x14ac:dyDescent="0.3">
      <c r="B280"/>
    </row>
    <row r="281" spans="2:2" ht="15.6" x14ac:dyDescent="0.3">
      <c r="B281"/>
    </row>
    <row r="282" spans="2:2" ht="15.6" x14ac:dyDescent="0.3">
      <c r="B282"/>
    </row>
    <row r="283" spans="2:2" ht="15.6" x14ac:dyDescent="0.3">
      <c r="B283"/>
    </row>
    <row r="284" spans="2:2" ht="15.6" x14ac:dyDescent="0.3">
      <c r="B284"/>
    </row>
    <row r="285" spans="2:2" ht="15.6" x14ac:dyDescent="0.3">
      <c r="B285"/>
    </row>
    <row r="286" spans="2:2" ht="15.6" x14ac:dyDescent="0.3">
      <c r="B286"/>
    </row>
    <row r="287" spans="2:2" ht="15.6" x14ac:dyDescent="0.3">
      <c r="B287"/>
    </row>
    <row r="288" spans="2:2" ht="15.6" x14ac:dyDescent="0.3">
      <c r="B288"/>
    </row>
    <row r="289" spans="2:2" ht="15.6" x14ac:dyDescent="0.3">
      <c r="B289"/>
    </row>
    <row r="290" spans="2:2" ht="15.6" x14ac:dyDescent="0.3">
      <c r="B290"/>
    </row>
    <row r="291" spans="2:2" ht="15.6" x14ac:dyDescent="0.3">
      <c r="B291"/>
    </row>
    <row r="292" spans="2:2" ht="15.6" x14ac:dyDescent="0.3">
      <c r="B292"/>
    </row>
    <row r="293" spans="2:2" ht="15.6" x14ac:dyDescent="0.3">
      <c r="B293"/>
    </row>
    <row r="294" spans="2:2" ht="15.6" x14ac:dyDescent="0.3">
      <c r="B294"/>
    </row>
    <row r="295" spans="2:2" ht="15.6" x14ac:dyDescent="0.3">
      <c r="B295"/>
    </row>
    <row r="296" spans="2:2" ht="15.6" x14ac:dyDescent="0.3">
      <c r="B296"/>
    </row>
    <row r="297" spans="2:2" ht="15.6" x14ac:dyDescent="0.3">
      <c r="B297"/>
    </row>
    <row r="298" spans="2:2" ht="15.6" x14ac:dyDescent="0.3">
      <c r="B298"/>
    </row>
    <row r="299" spans="2:2" ht="15.6" x14ac:dyDescent="0.3">
      <c r="B299"/>
    </row>
    <row r="300" spans="2:2" ht="15.6" x14ac:dyDescent="0.3">
      <c r="B300"/>
    </row>
    <row r="301" spans="2:2" ht="15.6" x14ac:dyDescent="0.3">
      <c r="B301"/>
    </row>
    <row r="302" spans="2:2" ht="15.6" x14ac:dyDescent="0.3">
      <c r="B302"/>
    </row>
    <row r="303" spans="2:2" ht="15.6" x14ac:dyDescent="0.3">
      <c r="B303"/>
    </row>
    <row r="304" spans="2:2" ht="15.6" x14ac:dyDescent="0.3">
      <c r="B304"/>
    </row>
    <row r="305" spans="2:2" ht="15.6" x14ac:dyDescent="0.3">
      <c r="B305"/>
    </row>
    <row r="306" spans="2:2" ht="15.6" x14ac:dyDescent="0.3">
      <c r="B306"/>
    </row>
    <row r="307" spans="2:2" ht="15.6" x14ac:dyDescent="0.3">
      <c r="B307"/>
    </row>
    <row r="308" spans="2:2" ht="15.6" x14ac:dyDescent="0.3">
      <c r="B308"/>
    </row>
    <row r="309" spans="2:2" ht="15.6" x14ac:dyDescent="0.3">
      <c r="B309"/>
    </row>
    <row r="310" spans="2:2" ht="15.6" x14ac:dyDescent="0.3">
      <c r="B310"/>
    </row>
    <row r="311" spans="2:2" ht="15.6" x14ac:dyDescent="0.3">
      <c r="B311"/>
    </row>
    <row r="312" spans="2:2" ht="15.6" x14ac:dyDescent="0.3">
      <c r="B312"/>
    </row>
    <row r="313" spans="2:2" ht="15.6" x14ac:dyDescent="0.3">
      <c r="B313"/>
    </row>
    <row r="314" spans="2:2" ht="15.6" x14ac:dyDescent="0.3">
      <c r="B314"/>
    </row>
    <row r="315" spans="2:2" ht="15.6" x14ac:dyDescent="0.3">
      <c r="B315"/>
    </row>
    <row r="316" spans="2:2" ht="15.6" x14ac:dyDescent="0.3">
      <c r="B316"/>
    </row>
    <row r="317" spans="2:2" ht="15.6" x14ac:dyDescent="0.3">
      <c r="B317"/>
    </row>
    <row r="318" spans="2:2" ht="15.6" x14ac:dyDescent="0.3">
      <c r="B318"/>
    </row>
    <row r="319" spans="2:2" ht="15.6" x14ac:dyDescent="0.3">
      <c r="B319"/>
    </row>
    <row r="320" spans="2:2" ht="15.6" x14ac:dyDescent="0.3">
      <c r="B320"/>
    </row>
    <row r="321" spans="2:2" ht="15.6" x14ac:dyDescent="0.3">
      <c r="B321"/>
    </row>
    <row r="322" spans="2:2" ht="15.6" x14ac:dyDescent="0.3">
      <c r="B322"/>
    </row>
    <row r="323" spans="2:2" ht="15.6" x14ac:dyDescent="0.3">
      <c r="B323"/>
    </row>
    <row r="324" spans="2:2" ht="15.6" x14ac:dyDescent="0.3">
      <c r="B324"/>
    </row>
    <row r="325" spans="2:2" ht="15.6" x14ac:dyDescent="0.3">
      <c r="B325"/>
    </row>
    <row r="326" spans="2:2" ht="15.6" x14ac:dyDescent="0.3">
      <c r="B326"/>
    </row>
    <row r="327" spans="2:2" ht="15.6" x14ac:dyDescent="0.3">
      <c r="B327"/>
    </row>
    <row r="328" spans="2:2" ht="15.6" x14ac:dyDescent="0.3">
      <c r="B328"/>
    </row>
    <row r="329" spans="2:2" ht="15.6" x14ac:dyDescent="0.3">
      <c r="B329"/>
    </row>
    <row r="330" spans="2:2" ht="15.6" x14ac:dyDescent="0.3">
      <c r="B330"/>
    </row>
    <row r="331" spans="2:2" ht="15.6" x14ac:dyDescent="0.3">
      <c r="B331"/>
    </row>
    <row r="332" spans="2:2" ht="15.6" x14ac:dyDescent="0.3">
      <c r="B332"/>
    </row>
    <row r="333" spans="2:2" ht="15.6" x14ac:dyDescent="0.3">
      <c r="B333"/>
    </row>
    <row r="334" spans="2:2" ht="15.6" x14ac:dyDescent="0.3">
      <c r="B334"/>
    </row>
    <row r="335" spans="2:2" ht="15.6" x14ac:dyDescent="0.3">
      <c r="B335"/>
    </row>
    <row r="336" spans="2:2" ht="15.6" x14ac:dyDescent="0.3">
      <c r="B336"/>
    </row>
    <row r="337" spans="2:2" ht="15.6" x14ac:dyDescent="0.3">
      <c r="B337"/>
    </row>
    <row r="338" spans="2:2" ht="15.6" x14ac:dyDescent="0.3">
      <c r="B338"/>
    </row>
    <row r="339" spans="2:2" ht="15.6" x14ac:dyDescent="0.3">
      <c r="B339"/>
    </row>
    <row r="340" spans="2:2" ht="15.6" x14ac:dyDescent="0.3">
      <c r="B340"/>
    </row>
    <row r="341" spans="2:2" ht="15.6" x14ac:dyDescent="0.3">
      <c r="B341"/>
    </row>
    <row r="342" spans="2:2" ht="15.6" x14ac:dyDescent="0.3">
      <c r="B342"/>
    </row>
    <row r="343" spans="2:2" ht="15.6" x14ac:dyDescent="0.3">
      <c r="B343"/>
    </row>
    <row r="344" spans="2:2" ht="15.6" x14ac:dyDescent="0.3">
      <c r="B344"/>
    </row>
    <row r="345" spans="2:2" ht="15.6" x14ac:dyDescent="0.3">
      <c r="B345"/>
    </row>
    <row r="346" spans="2:2" ht="15.6" x14ac:dyDescent="0.3">
      <c r="B346"/>
    </row>
    <row r="347" spans="2:2" ht="15.6" x14ac:dyDescent="0.3">
      <c r="B347"/>
    </row>
    <row r="348" spans="2:2" ht="15.6" x14ac:dyDescent="0.3">
      <c r="B348"/>
    </row>
    <row r="349" spans="2:2" ht="15.6" x14ac:dyDescent="0.3">
      <c r="B349"/>
    </row>
    <row r="350" spans="2:2" ht="15.6" x14ac:dyDescent="0.3">
      <c r="B350"/>
    </row>
    <row r="351" spans="2:2" ht="15.6" x14ac:dyDescent="0.3">
      <c r="B351"/>
    </row>
    <row r="352" spans="2:2" ht="15.6" x14ac:dyDescent="0.3">
      <c r="B352"/>
    </row>
    <row r="353" spans="2:2" ht="15.6" x14ac:dyDescent="0.3">
      <c r="B353"/>
    </row>
    <row r="354" spans="2:2" ht="15.6" x14ac:dyDescent="0.3">
      <c r="B354"/>
    </row>
    <row r="355" spans="2:2" ht="15.6" x14ac:dyDescent="0.3">
      <c r="B355"/>
    </row>
    <row r="356" spans="2:2" ht="15.6" x14ac:dyDescent="0.3">
      <c r="B356"/>
    </row>
    <row r="357" spans="2:2" ht="15.6" x14ac:dyDescent="0.3">
      <c r="B357"/>
    </row>
    <row r="358" spans="2:2" ht="15.6" x14ac:dyDescent="0.3">
      <c r="B358"/>
    </row>
    <row r="359" spans="2:2" ht="15.6" x14ac:dyDescent="0.3">
      <c r="B359"/>
    </row>
    <row r="360" spans="2:2" ht="15.6" x14ac:dyDescent="0.3">
      <c r="B360"/>
    </row>
    <row r="361" spans="2:2" ht="15.6" x14ac:dyDescent="0.3">
      <c r="B361"/>
    </row>
    <row r="362" spans="2:2" ht="15.6" x14ac:dyDescent="0.3">
      <c r="B362"/>
    </row>
    <row r="363" spans="2:2" ht="15.6" x14ac:dyDescent="0.3">
      <c r="B363"/>
    </row>
    <row r="364" spans="2:2" ht="15.6" x14ac:dyDescent="0.3">
      <c r="B364"/>
    </row>
    <row r="365" spans="2:2" ht="15.6" x14ac:dyDescent="0.3">
      <c r="B365"/>
    </row>
    <row r="366" spans="2:2" ht="15.6" x14ac:dyDescent="0.3">
      <c r="B366"/>
    </row>
    <row r="367" spans="2:2" ht="15.6" x14ac:dyDescent="0.3">
      <c r="B367"/>
    </row>
    <row r="368" spans="2:2" ht="15.6" x14ac:dyDescent="0.3">
      <c r="B368"/>
    </row>
    <row r="369" spans="2:2" ht="15.6" x14ac:dyDescent="0.3">
      <c r="B369"/>
    </row>
    <row r="370" spans="2:2" ht="15.6" x14ac:dyDescent="0.3">
      <c r="B370"/>
    </row>
    <row r="371" spans="2:2" ht="15.6" x14ac:dyDescent="0.3">
      <c r="B371"/>
    </row>
    <row r="372" spans="2:2" ht="15.6" x14ac:dyDescent="0.3">
      <c r="B372"/>
    </row>
    <row r="373" spans="2:2" ht="15.6" x14ac:dyDescent="0.3">
      <c r="B373"/>
    </row>
    <row r="374" spans="2:2" ht="15.6" x14ac:dyDescent="0.3">
      <c r="B374"/>
    </row>
    <row r="375" spans="2:2" ht="15.6" x14ac:dyDescent="0.3">
      <c r="B375"/>
    </row>
    <row r="376" spans="2:2" ht="15.6" x14ac:dyDescent="0.3">
      <c r="B376"/>
    </row>
    <row r="377" spans="2:2" ht="15.6" x14ac:dyDescent="0.3">
      <c r="B377"/>
    </row>
    <row r="378" spans="2:2" ht="15.6" x14ac:dyDescent="0.3">
      <c r="B378"/>
    </row>
    <row r="379" spans="2:2" ht="15.6" x14ac:dyDescent="0.3">
      <c r="B379"/>
    </row>
    <row r="380" spans="2:2" ht="15.6" x14ac:dyDescent="0.3">
      <c r="B380"/>
    </row>
    <row r="381" spans="2:2" ht="15.6" x14ac:dyDescent="0.3">
      <c r="B381"/>
    </row>
    <row r="382" spans="2:2" ht="15.6" x14ac:dyDescent="0.3">
      <c r="B382"/>
    </row>
    <row r="383" spans="2:2" ht="15.6" x14ac:dyDescent="0.3">
      <c r="B383"/>
    </row>
    <row r="384" spans="2:2" ht="15.6" x14ac:dyDescent="0.3">
      <c r="B384"/>
    </row>
  </sheetData>
  <mergeCells count="5">
    <mergeCell ref="C9:C12"/>
    <mergeCell ref="C6:C8"/>
    <mergeCell ref="B6:B8"/>
    <mergeCell ref="B9:B12"/>
    <mergeCell ref="B1:L1"/>
  </mergeCells>
  <pageMargins left="0.4" right="0.4" top="0.4" bottom="0.4" header="0" footer="0"/>
  <pageSetup scale="39" fitToHeight="0" orientation="landscape" horizontalDpi="4294967292" verticalDpi="4294967292" r:id="rId2"/>
  <rowBreaks count="1" manualBreakCount="1">
    <brk id="12" max="16383" man="1"/>
  </rowBreaks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Dashboard</vt:lpstr>
      <vt:lpstr>Dashboard!Print_Area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Fernandez</dc:creator>
  <cp:lastModifiedBy>Samantha Fernandez</cp:lastModifiedBy>
  <cp:lastPrinted>2026-10-20T12:16:48Z</cp:lastPrinted>
  <dcterms:created xsi:type="dcterms:W3CDTF">2025-01-10T02:02:15Z</dcterms:created>
  <dcterms:modified xsi:type="dcterms:W3CDTF">2026-10-20T12:18:36Z</dcterms:modified>
</cp:coreProperties>
</file>